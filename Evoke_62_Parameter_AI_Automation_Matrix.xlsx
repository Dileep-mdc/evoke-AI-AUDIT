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4c5275d0304e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570403b14e0462e"/>
    <x:sheet xmlns:r="http://schemas.openxmlformats.org/officeDocument/2006/relationships" name="62 Parameter Matrix" sheetId="2" r:id="R83770b87c2e947cf"/>
    <x:sheet xmlns:r="http://schemas.openxmlformats.org/officeDocument/2006/relationships" name="AI-Agent Worklist" sheetId="3" r:id="R8e89e66261844d68"/>
    <x:sheet xmlns:r="http://schemas.openxmlformats.org/officeDocument/2006/relationships" name="Methodology" sheetId="4" r:id="Rd51082fe60804c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1F3D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7"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color rgb="FF2F6B2F"/>
      </x:font>
      <x:fill>
        <x:patternFill patternType="solid">
          <x:bgColor rgb="FFE2F0D9"/>
        </x:patternFill>
      </x:fill>
    </x:dxf>
    <x:dxf>
      <x:font>
        <x:color rgb="FF7030A0"/>
      </x:font>
      <x:fill>
        <x:patternFill patternType="solid">
          <x:bgColor rgb="FFEADCF8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ill>
        <x:patternFill patternType="solid">
          <x:bgColor rgb="FFEAF3FF"/>
        </x:patternFill>
      </x:fill>
    </x:dxf>
    <x:dxf>
      <x:fill>
        <x:patternFill patternType="solid">
          <x:bgColor rgb="FFFFF7E6"/>
        </x:patternFill>
      </x:fill>
    </x:dxf>
    <x:dxf>
      <x:fill>
        <x:patternFill patternType="solid">
          <x:bgColor rgb="FFF4EAF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8d78db13754dad" /><Relationship Type="http://schemas.openxmlformats.org/officeDocument/2006/relationships/theme" Target="/xl/theme/theme1.xml" Id="R6a0f4f22edb94080" /><Relationship Type="http://schemas.openxmlformats.org/officeDocument/2006/relationships/sharedStrings" Target="/xl/sharedStrings.xml" Id="Rb9cda1691ba141d5" /><Relationship Type="http://schemas.openxmlformats.org/officeDocument/2006/relationships/worksheet" Target="/xl/worksheets/sheet1.xml" Id="Rf570403b14e0462e" /><Relationship Type="http://schemas.openxmlformats.org/officeDocument/2006/relationships/worksheet" Target="/xl/worksheets/sheet2.xml" Id="R83770b87c2e947cf" /><Relationship Type="http://schemas.openxmlformats.org/officeDocument/2006/relationships/worksheet" Target="/xl/worksheets/sheet3.xml" Id="R8e89e66261844d68" /><Relationship Type="http://schemas.openxmlformats.org/officeDocument/2006/relationships/worksheet" Target="/xl/worksheets/sheet4.xml" Id="Rd51082fe60804cd4" /></Relationships>
</file>

<file path=xl/tables/table1.xml><?xml version="1.0" encoding="utf-8"?>
<x:table xmlns:x="http://schemas.openxmlformats.org/spreadsheetml/2006/main" id="4" name="SectionSummary" displayName="SectionSummary" ref="A11:F15" headerRowCount="1" totalsRowCount="0" totalsRowShown="0">
  <x:tableColumns count="6">
    <x:tableColumn id="1" name="Section"/>
    <x:tableColumn id="2" name="Count"/>
    <x:tableColumn id="3" name="Typical Stack"/>
    <x:tableColumn id="4" name="AI Agent Pattern"/>
    <x:tableColumn id="5" name="Main Output"/>
    <x:tableColumn id="6" name="Implementation Foc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ParameterMatrix" displayName="ParameterMatrix" ref="A1:O63" headerRowCount="1" totalsRowCount="0" totalsRowShown="0">
  <x:tableColumns count="15">
    <x:tableColumn id="1" name="Parameter ID"/>
    <x:tableColumn id="2" name="Section"/>
    <x:tableColumn id="3" name="Parameter"/>
    <x:tableColumn id="4" name="Primary Method"/>
    <x:tableColumn id="5" name="AI Intelligence Required?"/>
    <x:tableColumn id="6" name="Automation Level"/>
    <x:tableColumn id="7" name="Data Source / Location"/>
    <x:tableColumn id="8" name="Exact Check Logic"/>
    <x:tableColumn id="9" name="Calculation / Scoring"/>
    <x:tableColumn id="10" name="Implementation Recommendation"/>
    <x:tableColumn id="11" name="AI Agent Role"/>
    <x:tableColumn id="12" name="External Dependency"/>
    <x:tableColumn id="13" name="Evidence to Store"/>
    <x:tableColumn id="14" name="Priority"/>
    <x:tableColumn id="15" name="Basi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AIAgentWorklist" displayName="AIAgentWorklist" ref="A1:L42" headerRowCount="1" totalsRowCount="0" totalsRowShown="0">
  <x:tableColumns count="12">
    <x:tableColumn id="1" name="Parameter ID"/>
    <x:tableColumn id="2" name="Section"/>
    <x:tableColumn id="3" name="Parameter"/>
    <x:tableColumn id="4" name="Why AI Is Needed"/>
    <x:tableColumn id="5" name="AI Agent Role"/>
    <x:tableColumn id="6" name="AI Input"/>
    <x:tableColumn id="7" name="Expected AI Output"/>
    <x:tableColumn id="8" name="Deterministic Work Before AI"/>
    <x:tableColumn id="9" name="Deterministic Work After AI"/>
    <x:tableColumn id="10" name="Guardrail / Validation"/>
    <x:tableColumn id="11" name="External Dependency"/>
    <x:tableColumn id="12" name="Priority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MethodologyTable" displayName="MethodologyTable" ref="A1:C10" headerRowCount="1" totalsRowCount="0" totalsRowShown="0">
  <x:tableColumns count="3">
    <x:tableColumn id="1" name="Dimension"/>
    <x:tableColumn id="2" name="Meaning"/>
    <x:tableColumn id="3" name="Use in buil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be73caf396549a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f331f50b51042d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ea582c6f2ec483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a4e31dfdddb4047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4" hidden="0" customWidth="1"/>
    <x:col min="3" max="3" width="44" hidden="0" customWidth="1"/>
    <x:col min="4" max="4" width="30" hidden="0" customWidth="1"/>
    <x:col min="5" max="5" width="18" hidden="0" customWidth="1"/>
    <x:col min="6" max="6" width="34" hidden="0" customWidth="1"/>
    <x:col min="7" max="7" width="18" hidden="0" customWidth="1"/>
    <x:col min="8" max="8" width="18" hidden="0" customWidth="1"/>
  </x:cols>
  <x:sheetData>
    <x:row r="1">
      <x:c r="A1" s="5" t="str">
        <x:v>Evoke AI Search Visibility Audit — 62 Parameter AI / Automation Matrix</x:v>
      </x:c>
      <x:c r="B1" s="5"/>
      <x:c r="C1" s="5"/>
      <x:c r="D1" s="5"/>
      <x:c r="E1" s="5"/>
      <x:c r="F1" s="5"/>
      <x:c r="G1" s="5"/>
      <x:c r="H1" s="5"/>
    </x:row>
    <x:row r="3">
      <x:c r="A3" s="10" t="str">
        <x:v>Target Example</x:v>
      </x:c>
      <x:c r="B3" s="10" t="str">
        <x:v>https://www.evoketechnologies.com/</x:v>
      </x:c>
      <x:c r="D3" s="16" t="str">
        <x:v>AI / Automation Summary</x:v>
      </x:c>
      <x:c r="E3" s="16" t="str">
        <x:v>Count</x:v>
      </x:c>
    </x:row>
    <x:row r="4">
      <x:c r="A4" s="10" t="str">
        <x:v>Total Parameters</x:v>
      </x:c>
      <x:c r="B4" s="10" t="n">
        <x:v>62</x:v>
      </x:c>
      <x:c r="D4" t="str">
        <x:v>AI intelligence required</x:v>
      </x:c>
      <x:c r="E4" t="n">
        <x:f>COUNTIF('62 Parameter Matrix'!E2:E63,"Yes")</x:f>
        <x:v>36</x:v>
      </x:c>
    </x:row>
    <x:row r="5">
      <x:c r="A5" s="10" t="str">
        <x:v>Technical</x:v>
      </x:c>
      <x:c r="B5" s="10" t="n">
        <x:v>22</x:v>
      </x:c>
      <x:c r="D5" t="str">
        <x:v>No AI required</x:v>
      </x:c>
      <x:c r="E5" t="n">
        <x:f>COUNTIF('62 Parameter Matrix'!E2:E63,"No")</x:f>
        <x:v>20</x:v>
      </x:c>
    </x:row>
    <x:row r="6">
      <x:c r="A6" s="10" t="str">
        <x:v>On-Page / Content</x:v>
      </x:c>
      <x:c r="B6" s="10" t="n">
        <x:v>22</x:v>
      </x:c>
      <x:c r="D6" t="str">
        <x:v>Hybrid automation</x:v>
      </x:c>
      <x:c r="E6" t="n">
        <x:f>COUNTIF('62 Parameter Matrix'!F2:F63,"Hybrid")+COUNTIF('62 Parameter Matrix'!F2:F63,"AI-assisted")</x:f>
        <x:v>40</x:v>
      </x:c>
    </x:row>
    <x:row r="7">
      <x:c r="A7" s="10" t="str">
        <x:v>Off-Page / Authority</x:v>
      </x:c>
      <x:c r="B7" s="10" t="n">
        <x:v>18</x:v>
      </x:c>
      <x:c r="D7" t="str">
        <x:v>Fully automated</x:v>
      </x:c>
      <x:c r="E7" t="n">
        <x:f>COUNTIF('62 Parameter Matrix'!F2:F63,"Fully automated")</x:f>
        <x:v>18</x:v>
      </x:c>
    </x:row>
    <x:row r="8">
      <x:c r="A8" s="10" t="str">
        <x:v>Use Case</x:v>
      </x:c>
      <x:c r="B8" s="10" t="str">
        <x:v>Identify which parameters should be deterministic automation, AI intelligence, or hybrid.</x:v>
      </x:c>
      <x:c r="D8" t="str">
        <x:v>External-data-dependent</x:v>
      </x:c>
      <x:c r="E8" t="n">
        <x:f>COUNTIF('62 Parameter Matrix'!L2:L63,"&lt;&gt;None")</x:f>
        <x:v>19</x:v>
      </x:c>
    </x:row>
    <x:row r="11" ht="48" customHeight="1">
      <x:c r="A11" s="16" t="str">
        <x:v>Section</x:v>
      </x:c>
      <x:c r="B11" s="16" t="str">
        <x:v>Count</x:v>
      </x:c>
      <x:c r="C11" s="16" t="str">
        <x:v>Typical Stack</x:v>
      </x:c>
      <x:c r="D11" s="16" t="str">
        <x:v>AI Agent Pattern</x:v>
      </x:c>
      <x:c r="E11" s="16" t="str">
        <x:v>Main Output</x:v>
      </x:c>
      <x:c r="F11" s="16" t="str">
        <x:v>Implementation Focus</x:v>
      </x:c>
    </x:row>
    <x:row r="12" ht="48" customHeight="1">
      <x:c r="A12" s="10" t="str">
        <x:v>Technical</x:v>
      </x:c>
      <x:c r="B12" s="10" t="n">
        <x:v>22</x:v>
      </x:c>
      <x:c r="C12" s="10" t="str">
        <x:v>Python + HTTP + HTML + Playwright/Lighthouse</x:v>
      </x:c>
      <x:c r="D12" s="10" t="str">
        <x:v>Minimal / optional</x:v>
      </x:c>
      <x:c r="E12" s="10" t="str">
        <x:v>Deterministic evidence + score</x:v>
      </x:c>
      <x:c r="F12" s="10" t="str">
        <x:v>Build crawler and validation engine first</x:v>
      </x:c>
    </x:row>
    <x:row r="13" ht="48" customHeight="1">
      <x:c r="A13" s="10" t="str">
        <x:v>On-Page / Content</x:v>
      </x:c>
      <x:c r="B13" s="10" t="n">
        <x:v>22</x:v>
      </x:c>
      <x:c r="C13" s="10" t="str">
        <x:v>Python + NLP + embeddings + LLM</x:v>
      </x:c>
      <x:c r="D13" s="10" t="str">
        <x:v>Content / Intent agents</x:v>
      </x:c>
      <x:c r="E13" s="10" t="str">
        <x:v>Semantic findings + recommendations</x:v>
      </x:c>
      <x:c r="F13" s="10" t="str">
        <x:v>Use strict JSON rubrics for repeatability</x:v>
      </x:c>
    </x:row>
    <x:row r="14" ht="48" customHeight="1">
      <x:c r="A14" s="10" t="str">
        <x:v>Off-Page / Authority</x:v>
      </x:c>
      <x:c r="B14" s="10" t="n">
        <x:v>18</x:v>
      </x:c>
      <x:c r="C14" s="10" t="str">
        <x:v>External APIs + search + LLM</x:v>
      </x:c>
      <x:c r="D14" s="10" t="str">
        <x:v>Research / verification agents</x:v>
      </x:c>
      <x:c r="E14" s="10" t="str">
        <x:v>Authority evidence + competitive signals</x:v>
      </x:c>
      <x:c r="F14" s="10" t="str">
        <x:v>Use adapters and cache raw evidence</x:v>
      </x:c>
    </x:row>
    <x:row r="15" ht="48" customHeight="1">
      <x:c r="A15" s="10" t="str">
        <x:v>Total</x:v>
      </x:c>
      <x:c r="B15" s="10" t="n">
        <x:v>62</x:v>
      </x:c>
      <x:c r="C15" s="10" t="str">
        <x:v>Modular service architecture</x:v>
      </x:c>
      <x:c r="D15" s="10" t="str">
        <x:v>Multiple specialized agents</x:v>
      </x:c>
      <x:c r="E15" s="10" t="str">
        <x:v>Unified parameter result schema</x:v>
      </x:c>
      <x:c r="F15" s="10" t="str">
        <x:v>Run all checks independently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3be73caf396549a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42" hidden="0" customWidth="1"/>
    <x:col min="4" max="4" width="27" hidden="0" customWidth="1"/>
    <x:col min="5" max="5" width="20" hidden="0" customWidth="1"/>
    <x:col min="6" max="6" width="18" hidden="0" customWidth="1"/>
    <x:col min="7" max="7" width="44" hidden="0" customWidth="1"/>
    <x:col min="8" max="8" width="60" hidden="0" customWidth="1"/>
    <x:col min="9" max="9" width="50" hidden="0" customWidth="1"/>
    <x:col min="10" max="10" width="48" hidden="0" customWidth="1"/>
    <x:col min="11" max="11" width="28" hidden="0" customWidth="1"/>
    <x:col min="12" max="12" width="28" hidden="0" customWidth="1"/>
    <x:col min="13" max="13" width="38" hidden="0" customWidth="1"/>
    <x:col min="14" max="14" width="12" hidden="0" customWidth="1"/>
    <x:col min="15" max="15" width="24" hidden="0" customWidth="1"/>
  </x:cols>
  <x:sheetData>
    <x:row r="1" ht="34" customHeight="1">
      <x:c r="A1" s="16" t="str">
        <x:v>Parameter ID</x:v>
      </x:c>
      <x:c r="B1" s="16" t="str">
        <x:v>Section</x:v>
      </x:c>
      <x:c r="C1" s="16" t="str">
        <x:v>Parameter</x:v>
      </x:c>
      <x:c r="D1" s="16" t="str">
        <x:v>Primary Method</x:v>
      </x:c>
      <x:c r="E1" s="16" t="str">
        <x:v>AI Intelligence Required?</x:v>
      </x:c>
      <x:c r="F1" s="16" t="str">
        <x:v>Automation Level</x:v>
      </x:c>
      <x:c r="G1" s="16" t="str">
        <x:v>Data Source / Location</x:v>
      </x:c>
      <x:c r="H1" s="16" t="str">
        <x:v>Exact Check Logic</x:v>
      </x:c>
      <x:c r="I1" s="16" t="str">
        <x:v>Calculation / Scoring</x:v>
      </x:c>
      <x:c r="J1" s="16" t="str">
        <x:v>Implementation Recommendation</x:v>
      </x:c>
      <x:c r="K1" s="16" t="str">
        <x:v>AI Agent Role</x:v>
      </x:c>
      <x:c r="L1" s="16" t="str">
        <x:v>External Dependency</x:v>
      </x:c>
      <x:c r="M1" s="16" t="str">
        <x:v>Evidence to Store</x:v>
      </x:c>
      <x:c r="N1" s="16" t="str">
        <x:v>Priority</x:v>
      </x:c>
      <x:c r="O1" s="16" t="str">
        <x:v>Basis</x:v>
      </x:c>
    </x:row>
    <x:row r="2" ht="48" customHeight="1">
      <x:c r="A2" s="10" t="str">
        <x:v>TECH-01</x:v>
      </x:c>
      <x:c r="B2" s="10" t="str">
        <x:v>Technical</x:v>
      </x:c>
      <x:c r="C2" s="10" t="str">
        <x:v>AI crawler permissions</x:v>
      </x:c>
      <x:c r="D2" s="10" t="str">
        <x:v>Regular automation + Python</x:v>
      </x:c>
      <x:c r="E2" s="10" t="str">
        <x:v>No</x:v>
      </x:c>
      <x:c r="F2" s="10" t="str">
        <x:v>Fully automated</x:v>
      </x:c>
      <x:c r="G2" s="10" t="str">
        <x:v>https://www.evoketechnologies.com/robots.txt</x:v>
      </x:c>
      <x:c r="H2" s="10" t="str">
        <x:v>Fetch robots.txt; parse User-agent, Allow and Disallow groups; evaluate GPTBot, ChatGPT-User, ClaudeBot, Google-Extended and PerplexityBot; use wildcard rules when bot-specific rules are absent.</x:v>
      </x:c>
      <x:c r="I2" s="10" t="str">
        <x:v>Allowed crawlers / crawlers checked × 100; &gt;=90 PASS, 60-89 PARTIAL, &lt;60 FAIL, inaccessible UNKNOWN.</x:v>
      </x:c>
      <x:c r="J2" s="10" t="str">
        <x:v>Python requests/httpx + robots parser; save raw file and parsed rules.</x:v>
      </x:c>
      <x:c r="K2" s="10" t="str">
        <x:v>None</x:v>
      </x:c>
      <x:c r="L2" s="10" t="str">
        <x:v>None</x:v>
      </x:c>
      <x:c r="M2" s="10" t="str">
        <x:v>robots.txt URL, raw text, per-bot decision</x:v>
      </x:c>
      <x:c r="N2" s="10" t="str">
        <x:v>High</x:v>
      </x:c>
      <x:c r="O2" s="10" t="str">
        <x:v>Derived from uploaded audit</x:v>
      </x:c>
    </x:row>
    <x:row r="3" ht="48" customHeight="1">
      <x:c r="A3" s="10" t="str">
        <x:v>TECH-02</x:v>
      </x:c>
      <x:c r="B3" s="10" t="str">
        <x:v>Technical</x:v>
      </x:c>
      <x:c r="C3" s="10" t="str">
        <x:v>No CDN/firewall blocking AI crawlers</x:v>
      </x:c>
      <x:c r="D3" s="10" t="str">
        <x:v>Regular automation + Python</x:v>
      </x:c>
      <x:c r="E3" s="10" t="str">
        <x:v>No</x:v>
      </x:c>
      <x:c r="F3" s="10" t="str">
        <x:v>Fully automated</x:v>
      </x:c>
      <x:c r="G3" s="10" t="str">
        <x:v>Homepage and a safe public content URL</x:v>
      </x:c>
      <x:c r="H3" s="10" t="str">
        <x:v>Send GET requests using normal browser and AI-crawler user agents; compare status, redirects, response body and obvious challenge/block pages.</x:v>
      </x:c>
      <x:c r="I3" s="10" t="str">
        <x:v>No meaningful block = PASS; intermittent bot-specific block = PARTIAL; repeated 403/429/challenge = FAIL.</x:v>
      </x:c>
      <x:c r="J3" s="10" t="str">
        <x:v>HTTP client + response classifier; retry twice with backoff.</x:v>
      </x:c>
      <x:c r="K3" s="10" t="str">
        <x:v>None</x:v>
      </x:c>
      <x:c r="L3" s="10" t="str">
        <x:v>None</x:v>
      </x:c>
      <x:c r="M3" s="10" t="str">
        <x:v>Status code, headers, response timing, block reason</x:v>
      </x:c>
      <x:c r="N3" s="10" t="str">
        <x:v>High</x:v>
      </x:c>
      <x:c r="O3" s="10" t="str">
        <x:v>Derived from uploaded audit</x:v>
      </x:c>
    </x:row>
    <x:row r="4" ht="48" customHeight="1">
      <x:c r="A4" s="10" t="str">
        <x:v>TECH-03</x:v>
      </x:c>
      <x:c r="B4" s="10" t="str">
        <x:v>Technical</x:v>
      </x:c>
      <x:c r="C4" s="10" t="str">
        <x:v>llms.txt present, accurate and current</x:v>
      </x:c>
      <x:c r="D4" s="10" t="str">
        <x:v>Regular automation + Python</x:v>
      </x:c>
      <x:c r="E4" s="10" t="str">
        <x:v>Optional</x:v>
      </x:c>
      <x:c r="F4" s="10" t="str">
        <x:v>Mostly automated</x:v>
      </x:c>
      <x:c r="G4" s="10" t="str">
        <x:v>https://www.evoketechnologies.com/llms.txt</x:v>
      </x:c>
      <x:c r="H4" s="10" t="str">
        <x:v>GET /llms.txt; verify HTTP 200, non-empty text, readable sections, links to important public pages, and freshness metadata if available.</x:v>
      </x:c>
      <x:c r="I4" s="10" t="str">
        <x:v>Presence 40%; non-empty/valid 20%; links resolve 20%; freshness/currentness 20%.</x:v>
      </x:c>
      <x:c r="J4" s="10" t="str">
        <x:v>Python HTTP + text parser + URL validator; use LLM only to assess whether content is substantively useful.</x:v>
      </x:c>
      <x:c r="K4" s="10" t="str">
        <x:v>LLM can judge usefulness/currentness.</x:v>
      </x:c>
      <x:c r="L4" s="10" t="str">
        <x:v>None</x:v>
      </x:c>
      <x:c r="M4" s="10" t="str">
        <x:v>HTTP status, file size, parsed sections, links checked</x:v>
      </x:c>
      <x:c r="N4" s="10" t="str">
        <x:v>High</x:v>
      </x:c>
      <x:c r="O4" s="10" t="str">
        <x:v>Derived from uploaded audit</x:v>
      </x:c>
    </x:row>
    <x:row r="5" ht="48" customHeight="1">
      <x:c r="A5" s="10" t="str">
        <x:v>TECH-04</x:v>
      </x:c>
      <x:c r="B5" s="10" t="str">
        <x:v>Technical</x:v>
      </x:c>
      <x:c r="C5" s="10" t="str">
        <x:v>No login, pop-up or cookie wall covering main content</x:v>
      </x:c>
      <x:c r="D5" s="10" t="str">
        <x:v>Regular automation + Python</x:v>
      </x:c>
      <x:c r="E5" s="10" t="str">
        <x:v>Optional</x:v>
      </x:c>
      <x:c r="F5" s="10" t="str">
        <x:v>Hybrid</x:v>
      </x:c>
      <x:c r="G5" s="10" t="str">
        <x:v>Homepage and representative service pages</x:v>
      </x:c>
      <x:c r="H5" s="10" t="str">
        <x:v>Render page in headless browser; detect full-screen overlays, login forms, cookie walls and modal elements obscuring primary content; capture screenshot/DOM evidence.</x:v>
      </x:c>
      <x:c r="I5" s="10" t="str">
        <x:v>No blocking overlay = 100; partial/ dismissible overlay = 70; main content blocked = 0.</x:v>
      </x:c>
      <x:c r="J5" s="10" t="str">
        <x:v>Playwright screenshot + DOM selectors + viewport analysis.</x:v>
      </x:c>
      <x:c r="K5" s="10" t="str">
        <x:v>Vision/LLM can validate ambiguous overlays.</x:v>
      </x:c>
      <x:c r="L5" s="10" t="str">
        <x:v>None</x:v>
      </x:c>
      <x:c r="M5" s="10" t="str">
        <x:v>Overlay selector, screenshot path, page URL</x:v>
      </x:c>
      <x:c r="N5" s="10" t="str">
        <x:v>Medium</x:v>
      </x:c>
      <x:c r="O5" s="10" t="str">
        <x:v>Derived from uploaded audit</x:v>
      </x:c>
    </x:row>
    <x:row r="6" ht="48" customHeight="1">
      <x:c r="A6" s="10" t="str">
        <x:v>TECH-05</x:v>
      </x:c>
      <x:c r="B6" s="10" t="str">
        <x:v>Technical</x:v>
      </x:c>
      <x:c r="C6" s="10" t="str">
        <x:v>Sitemap complete, accurate and submitted</x:v>
      </x:c>
      <x:c r="D6" s="10" t="str">
        <x:v>Regular automation + Python</x:v>
      </x:c>
      <x:c r="E6" s="10" t="str">
        <x:v>No</x:v>
      </x:c>
      <x:c r="F6" s="10" t="str">
        <x:v>Fully automated</x:v>
      </x:c>
      <x:c r="G6" s="10" t="str">
        <x:v>/sitemap.xml or robots.txt Sitemap directives</x:v>
      </x:c>
      <x:c r="H6" s="10" t="str">
        <x:v>Resolve sitemap locations; parse XML; validate URLs, response codes and canonical consistency; compare sampled site URLs against sitemap coverage.</x:v>
      </x:c>
      <x:c r="I6" s="10" t="str">
        <x:v>Valid URLs / sitemap URLs × 100, with penalties for errors, duplicates and missing sitemap discovery.</x:v>
      </x:c>
      <x:c r="J6" s="10" t="str">
        <x:v>Python XML parser + HTTP crawler; store sitemap inventory.</x:v>
      </x:c>
      <x:c r="K6" s="10" t="str">
        <x:v>None</x:v>
      </x:c>
      <x:c r="L6" s="10" t="str">
        <x:v>None</x:v>
      </x:c>
      <x:c r="M6" s="10" t="str">
        <x:v>Sitemap URL, URL count, invalid URL count, sample results</x:v>
      </x:c>
      <x:c r="N6" s="10" t="str">
        <x:v>High</x:v>
      </x:c>
      <x:c r="O6" s="10" t="str">
        <x:v>Derived from uploaded audit</x:v>
      </x:c>
    </x:row>
    <x:row r="7" ht="48" customHeight="1">
      <x:c r="A7" s="10" t="str">
        <x:v>TECH-06</x:v>
      </x:c>
      <x:c r="B7" s="10" t="str">
        <x:v>Technical</x:v>
      </x:c>
      <x:c r="C7" s="10" t="str">
        <x:v>No broken links, redirect chains or error pages</x:v>
      </x:c>
      <x:c r="D7" s="10" t="str">
        <x:v>Regular automation + Python</x:v>
      </x:c>
      <x:c r="E7" s="10" t="str">
        <x:v>No</x:v>
      </x:c>
      <x:c r="F7" s="10" t="str">
        <x:v>Fully automated</x:v>
      </x:c>
      <x:c r="G7" s="10" t="str">
        <x:v>Internal hyperlinks from crawled pages</x:v>
      </x:c>
      <x:c r="H7" s="10" t="str">
        <x:v>Extract internal hrefs; normalize URLs; request each or a sample; record 4xx/5xx and redirect hops; identify orphaned final destinations.</x:v>
      </x:c>
      <x:c r="I7" s="10" t="str">
        <x:v>Working URLs / checked URLs × 100; 3+ redirect hops = chain issue; 4xx/5xx = broken.</x:v>
      </x:c>
      <x:c r="J7" s="10" t="str">
        <x:v>Python crawler + redirect history; configurable crawl cap.</x:v>
      </x:c>
      <x:c r="K7" s="10" t="str">
        <x:v>None</x:v>
      </x:c>
      <x:c r="L7" s="10" t="str">
        <x:v>None</x:v>
      </x:c>
      <x:c r="M7" s="10" t="str">
        <x:v>Broken URL, status, hop count, source page</x:v>
      </x:c>
      <x:c r="N7" s="10" t="str">
        <x:v>High</x:v>
      </x:c>
      <x:c r="O7" s="10" t="str">
        <x:v>Derived from uploaded audit</x:v>
      </x:c>
    </x:row>
    <x:row r="8" ht="48" customHeight="1">
      <x:c r="A8" s="10" t="str">
        <x:v>TECH-07</x:v>
      </x:c>
      <x:c r="B8" s="10" t="str">
        <x:v>Technical</x:v>
      </x:c>
      <x:c r="C8" s="10" t="str">
        <x:v>Page speed and Core Web Vitals (LCP, INP, CLS)</x:v>
      </x:c>
      <x:c r="D8" s="10" t="str">
        <x:v>Performance automation</x:v>
      </x:c>
      <x:c r="E8" s="10" t="str">
        <x:v>No</x:v>
      </x:c>
      <x:c r="F8" s="10" t="str">
        <x:v>Fully automated</x:v>
      </x:c>
      <x:c r="G8" s="10" t="str">
        <x:v>Representative pages using Chromium/Lighthouse</x:v>
      </x:c>
      <x:c r="H8" s="10" t="str">
        <x:v>Run performance measurement on desktop and mobile; collect LCP, INP and CLS plus performance score; use field data when available and lab fallback otherwise.</x:v>
      </x:c>
      <x:c r="I8" s="10" t="str">
        <x:v>Use metric-specific thresholds; normalize LCP/INP/CLS to 0-100 and average with configurable weights.</x:v>
      </x:c>
      <x:c r="J8" s="10" t="str">
        <x:v>Playwright/Chromium + Lighthouse/PageSpeed-compatible runner.</x:v>
      </x:c>
      <x:c r="K8" s="10" t="str">
        <x:v>None</x:v>
      </x:c>
      <x:c r="L8" s="10" t="str">
        <x:v>None</x:v>
      </x:c>
      <x:c r="M8" s="10" t="str">
        <x:v>Metrics, device, run timestamp, performance score</x:v>
      </x:c>
      <x:c r="N8" s="10" t="str">
        <x:v>High</x:v>
      </x:c>
      <x:c r="O8" s="10" t="str">
        <x:v>Derived from uploaded audit</x:v>
      </x:c>
    </x:row>
    <x:row r="9" ht="48" customHeight="1">
      <x:c r="A9" s="10" t="str">
        <x:v>TECH-08</x:v>
      </x:c>
      <x:c r="B9" s="10" t="str">
        <x:v>Technical</x:v>
      </x:c>
      <x:c r="C9" s="10" t="str">
        <x:v>Mobile responsiveness and secure HTTPS delivery</x:v>
      </x:c>
      <x:c r="D9" s="10" t="str">
        <x:v>Regular automation + Python</x:v>
      </x:c>
      <x:c r="E9" s="10" t="str">
        <x:v>No</x:v>
      </x:c>
      <x:c r="F9" s="10" t="str">
        <x:v>Fully automated</x:v>
      </x:c>
      <x:c r="G9" s="10" t="str">
        <x:v>Final URL and mobile viewport</x:v>
      </x:c>
      <x:c r="H9" s="10" t="str">
        <x:v>Check final URL uses HTTPS; follow redirects; verify viewport meta tag and render at mobile width; detect horizontal overflow.</x:v>
      </x:c>
      <x:c r="I9" s="10" t="str">
        <x:v>HTTPS 50% + mobile viewport/render 50%; any critical failure can cap score.</x:v>
      </x:c>
      <x:c r="J9" s="10" t="str">
        <x:v>Python + Playwright.</x:v>
      </x:c>
      <x:c r="K9" s="10" t="str">
        <x:v>None</x:v>
      </x:c>
      <x:c r="L9" s="10" t="str">
        <x:v>None</x:v>
      </x:c>
      <x:c r="M9" s="10" t="str">
        <x:v>Final URL, SSL result, viewport meta, overflow evidence</x:v>
      </x:c>
      <x:c r="N9" s="10" t="str">
        <x:v>High</x:v>
      </x:c>
      <x:c r="O9" s="10" t="str">
        <x:v>Derived from uploaded audit</x:v>
      </x:c>
    </x:row>
    <x:row r="10" ht="48" customHeight="1">
      <x:c r="A10" s="10" t="str">
        <x:v>TECH-09</x:v>
      </x:c>
      <x:c r="B10" s="10" t="str">
        <x:v>Technical</x:v>
      </x:c>
      <x:c r="C10" s="10" t="str">
        <x:v>Main content present in page source, not JS-only</x:v>
      </x:c>
      <x:c r="D10" s="10" t="str">
        <x:v>HTML parsing + browser</x:v>
      </x:c>
      <x:c r="E10" s="10" t="str">
        <x:v>No</x:v>
      </x:c>
      <x:c r="F10" s="10" t="str">
        <x:v>Fully automated</x:v>
      </x:c>
      <x:c r="G10" s="10" t="str">
        <x:v>HTML source vs rendered DOM for representative pages</x:v>
      </x:c>
      <x:c r="H10" s="10" t="str">
        <x:v>Download raw HTML; extract visible text from source; compare with rendered DOM text; calculate source text share.</x:v>
      </x:c>
      <x:c r="I10" s="10" t="str">
        <x:v>Raw visible text / rendered visible text × 100; &gt;=70 good, 40-69 partial, &lt;40 fail (configurable).</x:v>
      </x:c>
      <x:c r="J10" s="10" t="str">
        <x:v>Python BeautifulSoup/lxml + Playwright.</x:v>
      </x:c>
      <x:c r="K10" s="10" t="str">
        <x:v>None</x:v>
      </x:c>
      <x:c r="L10" s="10" t="str">
        <x:v>None</x:v>
      </x:c>
      <x:c r="M10" s="10" t="str">
        <x:v>Raw text chars, rendered text chars, ratio</x:v>
      </x:c>
      <x:c r="N10" s="10" t="str">
        <x:v>Medium</x:v>
      </x:c>
      <x:c r="O10" s="10" t="str">
        <x:v>Derived from uploaded audit</x:v>
      </x:c>
    </x:row>
    <x:row r="11" ht="48" customHeight="1">
      <x:c r="A11" s="10" t="str">
        <x:v>TECH-10</x:v>
      </x:c>
      <x:c r="B11" s="10" t="str">
        <x:v>Technical</x:v>
      </x:c>
      <x:c r="C11" s="10" t="str">
        <x:v>One H1 per page and logical H2/H3 hierarchy</x:v>
      </x:c>
      <x:c r="D11" s="10" t="str">
        <x:v>HTML parsing</x:v>
      </x:c>
      <x:c r="E11" s="10" t="str">
        <x:v>No</x:v>
      </x:c>
      <x:c r="F11" s="10" t="str">
        <x:v>Fully automated</x:v>
      </x:c>
      <x:c r="G11" s="10" t="str">
        <x:v>Each crawled HTML page</x:v>
      </x:c>
      <x:c r="H11" s="10" t="str">
        <x:v>Parse H1-H6 sequence; count H1s; detect skipped levels and duplicate structural patterns.</x:v>
      </x:c>
      <x:c r="I11" s="10" t="str">
        <x:v>H1 exactly one = pass; hierarchy skips/duplicates reduce score.</x:v>
      </x:c>
      <x:c r="J11" s="10" t="str">
        <x:v>Python BeautifulSoup/lxml.</x:v>
      </x:c>
      <x:c r="K11" s="10" t="str">
        <x:v>None</x:v>
      </x:c>
      <x:c r="L11" s="10" t="str">
        <x:v>None</x:v>
      </x:c>
      <x:c r="M11" s="10" t="str">
        <x:v>H1 count, heading sequence, skipped levels</x:v>
      </x:c>
      <x:c r="N11" s="10" t="str">
        <x:v>Medium</x:v>
      </x:c>
      <x:c r="O11" s="10" t="str">
        <x:v>Derived from uploaded audit</x:v>
      </x:c>
    </x:row>
    <x:row r="12" ht="48" customHeight="1">
      <x:c r="A12" s="10" t="str">
        <x:v>TECH-11</x:v>
      </x:c>
      <x:c r="B12" s="10" t="str">
        <x:v>Technical</x:v>
      </x:c>
      <x:c r="C12" s="10" t="str">
        <x:v>Heading frequency that lets an assistant lift a clean passage</x:v>
      </x:c>
      <x:c r="D12" s="10" t="str">
        <x:v>HTML + NLP</x:v>
      </x:c>
      <x:c r="E12" s="10" t="str">
        <x:v>Yes</x:v>
      </x:c>
      <x:c r="F12" s="10" t="str">
        <x:v>AI-assisted</x:v>
      </x:c>
      <x:c r="G12" s="10" t="str">
        <x:v>Page headings + content blocks</x:v>
      </x:c>
      <x:c r="H12" s="10" t="str">
        <x:v>Measure words per heading, paragraph size, and whether sections form self-contained answer blocks; flag very long sections with no subheading.</x:v>
      </x:c>
      <x:c r="I12" s="10" t="str">
        <x:v>Score based on heading density and average section length; LLM can classify liftability.</x:v>
      </x:c>
      <x:c r="J12" s="10" t="str">
        <x:v>Python parsing + embeddings/LLM evaluator.</x:v>
      </x:c>
      <x:c r="K12" s="10" t="str">
        <x:v>Content structure evaluator</x:v>
      </x:c>
      <x:c r="L12" s="10" t="str">
        <x:v>None</x:v>
      </x:c>
      <x:c r="M12" s="10" t="str">
        <x:v>Heading count, words per section, AI liftability verdict</x:v>
      </x:c>
      <x:c r="N12" s="10" t="str">
        <x:v>Medium</x:v>
      </x:c>
      <x:c r="O12" s="10" t="str">
        <x:v>Derived from uploaded audit</x:v>
      </x:c>
    </x:row>
    <x:row r="13" ht="48" customHeight="1">
      <x:c r="A13" s="10" t="str">
        <x:v>TECH-12</x:v>
      </x:c>
      <x:c r="B13" s="10" t="str">
        <x:v>Technical</x:v>
      </x:c>
      <x:c r="C13" s="10" t="str">
        <x:v>Tables and lists as real markup rather than images</x:v>
      </x:c>
      <x:c r="D13" s="10" t="str">
        <x:v>HTML parsing</x:v>
      </x:c>
      <x:c r="E13" s="10" t="str">
        <x:v>No</x:v>
      </x:c>
      <x:c r="F13" s="10" t="str">
        <x:v>Fully automated</x:v>
      </x:c>
      <x:c r="G13" s="10" t="str">
        <x:v>HTML DOM</x:v>
      </x:c>
      <x:c r="H13" s="10" t="str">
        <x:v>Count semantic &lt;table&gt;, &lt;ul&gt;, &lt;ol&gt; elements; detect image-based/table-like visuals using alt/text where possible; optionally flag missing semantic alternatives.</x:v>
      </x:c>
      <x:c r="I13" s="10" t="str">
        <x:v>Semantic structures / detected list-table opportunities × 100; image-only representations reduce score.</x:v>
      </x:c>
      <x:c r="J13" s="10" t="str">
        <x:v>Python DOM parser + optional vision check.</x:v>
      </x:c>
      <x:c r="K13" s="10" t="str">
        <x:v>None</x:v>
      </x:c>
      <x:c r="L13" s="10" t="str">
        <x:v>None</x:v>
      </x:c>
      <x:c r="M13" s="10" t="str">
        <x:v>Table/list counts, suspected image-only structures</x:v>
      </x:c>
      <x:c r="N13" s="10" t="str">
        <x:v>Low</x:v>
      </x:c>
      <x:c r="O13" s="10" t="str">
        <x:v>Derived from uploaded audit</x:v>
      </x:c>
    </x:row>
    <x:row r="14" ht="48" customHeight="1">
      <x:c r="A14" s="10" t="str">
        <x:v>TECH-13</x:v>
      </x:c>
      <x:c r="B14" s="10" t="str">
        <x:v>Technical</x:v>
      </x:c>
      <x:c r="C14" s="10" t="str">
        <x:v>Text-to-code ratio and content depth per page</x:v>
      </x:c>
      <x:c r="D14" s="10" t="str">
        <x:v>HTML parsing</x:v>
      </x:c>
      <x:c r="E14" s="10" t="str">
        <x:v>No</x:v>
      </x:c>
      <x:c r="F14" s="10" t="str">
        <x:v>Fully automated</x:v>
      </x:c>
      <x:c r="G14" s="10" t="str">
        <x:v>Raw HTML + visible text</x:v>
      </x:c>
      <x:c r="H14" s="10" t="str">
        <x:v>Calculate visible text characters/HTML characters and word count; compare against page type thresholds.</x:v>
      </x:c>
      <x:c r="I14" s="10" t="str">
        <x:v>Text chars / HTML chars × 100; depth is normalized against configurable page-type benchmark.</x:v>
      </x:c>
      <x:c r="J14" s="10" t="str">
        <x:v>Python parser + content counter.</x:v>
      </x:c>
      <x:c r="K14" s="10" t="str">
        <x:v>None</x:v>
      </x:c>
      <x:c r="L14" s="10" t="str">
        <x:v>None</x:v>
      </x:c>
      <x:c r="M14" s="10" t="str">
        <x:v>Text chars, HTML chars, ratio, word count</x:v>
      </x:c>
      <x:c r="N14" s="10" t="str">
        <x:v>Medium</x:v>
      </x:c>
      <x:c r="O14" s="10" t="str">
        <x:v>Derived from uploaded audit</x:v>
      </x:c>
    </x:row>
    <x:row r="15" ht="48" customHeight="1">
      <x:c r="A15" s="10" t="str">
        <x:v>TECH-14</x:v>
      </x:c>
      <x:c r="B15" s="10" t="str">
        <x:v>Technical</x:v>
      </x:c>
      <x:c r="C15" s="10" t="str">
        <x:v>Image alt text and video transcripts</x:v>
      </x:c>
      <x:c r="D15" s="10" t="str">
        <x:v>HTML + media parsing</x:v>
      </x:c>
      <x:c r="E15" s="10" t="str">
        <x:v>Optional</x:v>
      </x:c>
      <x:c r="F15" s="10" t="str">
        <x:v>Hybrid</x:v>
      </x:c>
      <x:c r="G15" s="10" t="str">
        <x:v>&lt;img&gt; tags, video/iframe/transcript markup</x:v>
      </x:c>
      <x:c r="H15" s="10" t="str">
        <x:v>Count images with meaningful alt; detect video embeds and transcript blocks; verify transcripts are indexable text when present.</x:v>
      </x:c>
      <x:c r="I15" s="10" t="str">
        <x:v>Images with usable alt / total images × 100; videos with transcript / detected videos × 100; combine.</x:v>
      </x:c>
      <x:c r="J15" s="10" t="str">
        <x:v>Python DOM parser; optional vision/LLM to judge meaningfulness of alt text.</x:v>
      </x:c>
      <x:c r="K15" s="10" t="str">
        <x:v>AI can assess whether alt text is descriptive rather than generic.</x:v>
      </x:c>
      <x:c r="L15" s="10" t="str">
        <x:v>None</x:v>
      </x:c>
      <x:c r="M15" s="10" t="str">
        <x:v>Image URL, alt value, video URL, transcript presence</x:v>
      </x:c>
      <x:c r="N15" s="10" t="str">
        <x:v>Medium</x:v>
      </x:c>
      <x:c r="O15" s="10" t="str">
        <x:v>Derived from uploaded audit</x:v>
      </x:c>
    </x:row>
    <x:row r="16" ht="48" customHeight="1">
      <x:c r="A16" s="10" t="str">
        <x:v>TECH-15</x:v>
      </x:c>
      <x:c r="B16" s="10" t="str">
        <x:v>Technical</x:v>
      </x:c>
      <x:c r="C16" s="10" t="str">
        <x:v>Published and updated dates visible and in code</x:v>
      </x:c>
      <x:c r="D16" s="10" t="str">
        <x:v>HTML/schema parsing</x:v>
      </x:c>
      <x:c r="E16" s="10" t="str">
        <x:v>No</x:v>
      </x:c>
      <x:c r="F16" s="10" t="str">
        <x:v>Fully automated</x:v>
      </x:c>
      <x:c r="G16" s="10" t="str">
        <x:v>Meta tags, JSON-LD, visible page content</x:v>
      </x:c>
      <x:c r="H16" s="10" t="str">
        <x:v>Extract datePublished/dateModified, article metadata and visible dates; compare values where multiple signals exist.</x:v>
      </x:c>
      <x:c r="I16" s="10" t="str">
        <x:v>Valid current date signal = 100; partial/one source = 60; absent = 0.</x:v>
      </x:c>
      <x:c r="J16" s="10" t="str">
        <x:v>Python JSON-LD parser + regex.</x:v>
      </x:c>
      <x:c r="K16" s="10" t="str">
        <x:v>None</x:v>
      </x:c>
      <x:c r="L16" s="10" t="str">
        <x:v>None</x:v>
      </x:c>
      <x:c r="M16" s="10" t="str">
        <x:v>Date source, parsed dates, consistency result</x:v>
      </x:c>
      <x:c r="N16" s="10" t="str">
        <x:v>Low</x:v>
      </x:c>
      <x:c r="O16" s="10" t="str">
        <x:v>Derived from uploaded audit</x:v>
      </x:c>
    </x:row>
    <x:row r="17" ht="48" customHeight="1">
      <x:c r="A17" s="10" t="str">
        <x:v>TECH-16</x:v>
      </x:c>
      <x:c r="B17" s="10" t="str">
        <x:v>Technical</x:v>
      </x:c>
      <x:c r="C17" s="10" t="str">
        <x:v>Organization markup — logo, address, contact, profiles</x:v>
      </x:c>
      <x:c r="D17" s="10" t="str">
        <x:v>Schema validation</x:v>
      </x:c>
      <x:c r="E17" s="10" t="str">
        <x:v>No</x:v>
      </x:c>
      <x:c r="F17" s="10" t="str">
        <x:v>Fully automated</x:v>
      </x:c>
      <x:c r="G17" s="10" t="str">
        <x:v>JSON-LD / microdata</x:v>
      </x:c>
      <x:c r="H17" s="10" t="str">
        <x:v>Find Organization schema; validate required/expected properties including name, url, logo, address/contact and sameAs profiles.</x:v>
      </x:c>
      <x:c r="I17" s="10" t="str">
        <x:v>Field completeness / expected fields × 100; invalid JSON-LD caps score.</x:v>
      </x:c>
      <x:c r="J17" s="10" t="str">
        <x:v>Python JSON-LD parser + schema validator.</x:v>
      </x:c>
      <x:c r="K17" s="10" t="str">
        <x:v>None</x:v>
      </x:c>
      <x:c r="L17" s="10" t="str">
        <x:v>None</x:v>
      </x:c>
      <x:c r="M17" s="10" t="str">
        <x:v>Schema type, fields present/missing</x:v>
      </x:c>
      <x:c r="N17" s="10" t="str">
        <x:v>Medium</x:v>
      </x:c>
      <x:c r="O17" s="10" t="str">
        <x:v>Derived from uploaded audit</x:v>
      </x:c>
    </x:row>
    <x:row r="18" ht="48" customHeight="1">
      <x:c r="A18" s="10" t="str">
        <x:v>TECH-17</x:v>
      </x:c>
      <x:c r="B18" s="10" t="str">
        <x:v>Technical</x:v>
      </x:c>
      <x:c r="C18" s="10" t="str">
        <x:v>Page-type markup — Article, FAQ, Service, Product, Person, HowTo</x:v>
      </x:c>
      <x:c r="D18" s="10" t="str">
        <x:v>Schema validation</x:v>
      </x:c>
      <x:c r="E18" s="10" t="str">
        <x:v>No</x:v>
      </x:c>
      <x:c r="F18" s="10" t="str">
        <x:v>Fully automated</x:v>
      </x:c>
      <x:c r="G18" s="10" t="str">
        <x:v>JSON-LD / schema markup</x:v>
      </x:c>
      <x:c r="H18" s="10" t="str">
        <x:v>Identify page-type schema relevant to URL; compare markup type with visible page template.</x:v>
      </x:c>
      <x:c r="I18" s="10" t="str">
        <x:v>Relevant page-type markup present and consistent = 100; present but mismatched = 50; absent when expected = 0.</x:v>
      </x:c>
      <x:c r="J18" s="10" t="str">
        <x:v>Python schema parser + URL/page-type rules.</x:v>
      </x:c>
      <x:c r="K18" s="10" t="str">
        <x:v>None</x:v>
      </x:c>
      <x:c r="L18" s="10" t="str">
        <x:v>None</x:v>
      </x:c>
      <x:c r="M18" s="10" t="str">
        <x:v>Schema types, page type inference, mismatch evidence</x:v>
      </x:c>
      <x:c r="N18" s="10" t="str">
        <x:v>Medium</x:v>
      </x:c>
      <x:c r="O18" s="10" t="str">
        <x:v>Derived from uploaded audit</x:v>
      </x:c>
    </x:row>
    <x:row r="19" ht="48" customHeight="1">
      <x:c r="A19" s="10" t="str">
        <x:v>TECH-18</x:v>
      </x:c>
      <x:c r="B19" s="10" t="str">
        <x:v>Technical</x:v>
      </x:c>
      <x:c r="C19" s="10" t="str">
        <x:v>Author profiles marked up with real credentials</x:v>
      </x:c>
      <x:c r="D19" s="10" t="str">
        <x:v>HTML + schema parsing</x:v>
      </x:c>
      <x:c r="E19" s="10" t="str">
        <x:v>Optional</x:v>
      </x:c>
      <x:c r="F19" s="10" t="str">
        <x:v>Hybrid</x:v>
      </x:c>
      <x:c r="G19" s="10" t="str">
        <x:v>Byline, author links, Person schema</x:v>
      </x:c>
      <x:c r="H19" s="10" t="str">
        <x:v>Detect author byline and profile; extract name, role, credentials, profile URL; verify profile is reachable.</x:v>
      </x:c>
      <x:c r="I19" s="10" t="str">
        <x:v>Author found 50%; profile linked 20%; credentials/role 30%; LLM can assess relevance.</x:v>
      </x:c>
      <x:c r="J19" s="10" t="str">
        <x:v>Python parser + optional LLM for credential relevance.</x:v>
      </x:c>
      <x:c r="K19" s="10" t="str">
        <x:v>AI can judge whether credentials substantively support expertise.</x:v>
      </x:c>
      <x:c r="L19" s="10" t="str">
        <x:v>None</x:v>
      </x:c>
      <x:c r="M19" s="10" t="str">
        <x:v>Author name, profile URL, credential fields</x:v>
      </x:c>
      <x:c r="N19" s="10" t="str">
        <x:v>Medium</x:v>
      </x:c>
      <x:c r="O19" s="10" t="str">
        <x:v>Derived from uploaded audit</x:v>
      </x:c>
    </x:row>
    <x:row r="20" ht="48" customHeight="1">
      <x:c r="A20" s="10" t="str">
        <x:v>TECH-19</x:v>
      </x:c>
      <x:c r="B20" s="10" t="str">
        <x:v>Technical</x:v>
      </x:c>
      <x:c r="C20" s="10" t="str">
        <x:v>Markup validates cleanly and matches visible content</x:v>
      </x:c>
      <x:c r="D20" s="10" t="str">
        <x:v>Schema validation</x:v>
      </x:c>
      <x:c r="E20" s="10" t="str">
        <x:v>No</x:v>
      </x:c>
      <x:c r="F20" s="10" t="str">
        <x:v>Fully automated</x:v>
      </x:c>
      <x:c r="G20" s="10" t="str">
        <x:v>JSON-LD blocks vs rendered page</x:v>
      </x:c>
      <x:c r="H20" s="10" t="str">
        <x:v>Parse every JSON-LD block; flag syntax/schema errors and materially mismatched values versus visible page/entity values.</x:v>
      </x:c>
      <x:c r="I20" s="10" t="str">
        <x:v>Valid blocks / total blocks × 100, with mismatch penalties.</x:v>
      </x:c>
      <x:c r="J20" s="10" t="str">
        <x:v>Python JSON parser + schema checks + page extraction.</x:v>
      </x:c>
      <x:c r="K20" s="10" t="str">
        <x:v>None</x:v>
      </x:c>
      <x:c r="L20" s="10" t="str">
        <x:v>None</x:v>
      </x:c>
      <x:c r="M20" s="10" t="str">
        <x:v>Block index, parse status, mismatched fields</x:v>
      </x:c>
      <x:c r="N20" s="10" t="str">
        <x:v>High</x:v>
      </x:c>
      <x:c r="O20" s="10" t="str">
        <x:v>Derived from uploaded audit</x:v>
      </x:c>
    </x:row>
    <x:row r="21" ht="48" customHeight="1">
      <x:c r="A21" s="10" t="str">
        <x:v>TECH-20</x:v>
      </x:c>
      <x:c r="B21" s="10" t="str">
        <x:v>Technical</x:v>
      </x:c>
      <x:c r="C21" s="10" t="str">
        <x:v>One clean URL per page; duplicates resolved</x:v>
      </x:c>
      <x:c r="D21" s="10" t="str">
        <x:v>HTTP + HTML parsing</x:v>
      </x:c>
      <x:c r="E21" s="10" t="str">
        <x:v>No</x:v>
      </x:c>
      <x:c r="F21" s="10" t="str">
        <x:v>Fully automated</x:v>
      </x:c>
      <x:c r="G21" s="10" t="str">
        <x:v>Canonical link, redirects, URL variants</x:v>
      </x:c>
      <x:c r="H21" s="10" t="str">
        <x:v>Check canonical tag, trailing slash variants, case variants, query parameters, redirect destination and duplicate content clusters.</x:v>
      </x:c>
      <x:c r="I21" s="10" t="str">
        <x:v>Canonical correctness 50%; redirect consistency 25%; duplicate URL conflicts 25%.</x:v>
      </x:c>
      <x:c r="J21" s="10" t="str">
        <x:v>Python crawler + normalized URL fingerprints.</x:v>
      </x:c>
      <x:c r="K21" s="10" t="str">
        <x:v>None</x:v>
      </x:c>
      <x:c r="L21" s="10" t="str">
        <x:v>None</x:v>
      </x:c>
      <x:c r="M21" s="10" t="str">
        <x:v>Canonical URL, final URL, duplicate cluster ID</x:v>
      </x:c>
      <x:c r="N21" s="10" t="str">
        <x:v>High</x:v>
      </x:c>
      <x:c r="O21" s="10" t="str">
        <x:v>Derived from uploaded audit</x:v>
      </x:c>
    </x:row>
    <x:row r="22" ht="48" customHeight="1">
      <x:c r="A22" s="10" t="str">
        <x:v>TECH-21</x:v>
      </x:c>
      <x:c r="B22" s="10" t="str">
        <x:v>Technical</x:v>
      </x:c>
      <x:c r="C22" s="10" t="str">
        <x:v>hreflang set correctly for every target country</x:v>
      </x:c>
      <x:c r="D22" s="10" t="str">
        <x:v>HTML parsing</x:v>
      </x:c>
      <x:c r="E22" s="10" t="str">
        <x:v>No</x:v>
      </x:c>
      <x:c r="F22" s="10" t="str">
        <x:v>Fully automated</x:v>
      </x:c>
      <x:c r="G22" s="10" t="str">
        <x:v>link rel=alternate hreflang tags</x:v>
      </x:c>
      <x:c r="H22" s="10" t="str">
        <x:v>Extract all hreflang tags; validate reciprocal references, valid locale syntax and reachable targets; if no multi-market intent detected, mark NOT APPLICABLE rather than fail.</x:v>
      </x:c>
      <x:c r="I22" s="10" t="str">
        <x:v>Valid reciprocal hreflang pairs / expected pairs × 100; N/A when single-market.</x:v>
      </x:c>
      <x:c r="J22" s="10" t="str">
        <x:v>Python parser + URL validator.</x:v>
      </x:c>
      <x:c r="K22" s="10" t="str">
        <x:v>None</x:v>
      </x:c>
      <x:c r="L22" s="10" t="str">
        <x:v>None</x:v>
      </x:c>
      <x:c r="M22" s="10" t="str">
        <x:v>Locales, target URLs, reciprocal result</x:v>
      </x:c>
      <x:c r="N22" s="10" t="str">
        <x:v>Low</x:v>
      </x:c>
      <x:c r="O22" s="10" t="str">
        <x:v>Derived from uploaded audit</x:v>
      </x:c>
    </x:row>
    <x:row r="23" ht="48" customHeight="1">
      <x:c r="A23" s="10" t="str">
        <x:v>TECH-22</x:v>
      </x:c>
      <x:c r="B23" s="10" t="str">
        <x:v>Technical</x:v>
      </x:c>
      <x:c r="C23" s="10" t="str">
        <x:v>Page titles and meta descriptions present and unique</x:v>
      </x:c>
      <x:c r="D23" s="10" t="str">
        <x:v>HTML parsing</x:v>
      </x:c>
      <x:c r="E23" s="10" t="str">
        <x:v>No</x:v>
      </x:c>
      <x:c r="F23" s="10" t="str">
        <x:v>Fully automated</x:v>
      </x:c>
      <x:c r="G23" s="10" t="str">
        <x:v>&lt;title&gt; and meta description on crawled pages</x:v>
      </x:c>
      <x:c r="H23" s="10" t="str">
        <x:v>Extract title/meta; check presence, uniqueness, length range and duplicate rate.</x:v>
      </x:c>
      <x:c r="I23" s="10" t="str">
        <x:v>Presence 50% + uniqueness 25% + length quality 25%.</x:v>
      </x:c>
      <x:c r="J23" s="10" t="str">
        <x:v>Python DOM parser + sitewide duplicate analysis.</x:v>
      </x:c>
      <x:c r="K23" s="10" t="str">
        <x:v>None</x:v>
      </x:c>
      <x:c r="L23" s="10" t="str">
        <x:v>None</x:v>
      </x:c>
      <x:c r="M23" s="10" t="str">
        <x:v>Page URL, title, description, duplicate group</x:v>
      </x:c>
      <x:c r="N23" s="10" t="str">
        <x:v>Medium</x:v>
      </x:c>
      <x:c r="O23" s="10" t="str">
        <x:v>Derived from uploaded audit</x:v>
      </x:c>
    </x:row>
    <x:row r="24" ht="48" customHeight="1">
      <x:c r="A24" s="10" t="str">
        <x:v>ON-01</x:v>
      </x:c>
      <x:c r="B24" s="10" t="str">
        <x:v>On-Page / Content</x:v>
      </x:c>
      <x:c r="C24" s="10" t="str">
        <x:v>Headings phrased as buyer questions</x:v>
      </x:c>
      <x:c r="D24" s="10" t="str">
        <x:v>HTML + LLM</x:v>
      </x:c>
      <x:c r="E24" s="10" t="str">
        <x:v>Yes</x:v>
      </x:c>
      <x:c r="F24" s="10" t="str">
        <x:v>AI-assisted</x:v>
      </x:c>
      <x:c r="G24" s="10" t="str">
        <x:v>H1-H3 headings on service/solution pages</x:v>
      </x:c>
      <x:c r="H24" s="10" t="str">
        <x:v>Classify each meaningful heading as buyer question / informational / navigation; focus on headings that can map to customer intents.</x:v>
      </x:c>
      <x:c r="I24" s="10" t="str">
        <x:v>Question-style headings / eligible headings × 100; LLM confidence weighted.</x:v>
      </x:c>
      <x:c r="J24" s="10" t="str">
        <x:v>Python extraction + LLM classifier with strict JSON output.</x:v>
      </x:c>
      <x:c r="K24" s="10" t="str">
        <x:v>Intent &amp; Question Evaluator</x:v>
      </x:c>
      <x:c r="L24" s="10" t="str">
        <x:v>None</x:v>
      </x:c>
      <x:c r="M24" s="10" t="str">
        <x:v>Heading text, question classification, confidence</x:v>
      </x:c>
      <x:c r="N24" s="10" t="str">
        <x:v>High</x:v>
      </x:c>
      <x:c r="O24" s="10" t="str">
        <x:v>Derived from uploaded audit</x:v>
      </x:c>
    </x:row>
    <x:row r="25" ht="48" customHeight="1">
      <x:c r="A25" s="10" t="str">
        <x:v>ON-02</x:v>
      </x:c>
      <x:c r="B25" s="10" t="str">
        <x:v>On-Page / Content</x:v>
      </x:c>
      <x:c r="C25" s="10" t="str">
        <x:v>Self-contained 40–60 word answer under each question</x:v>
      </x:c>
      <x:c r="D25" s="10" t="str">
        <x:v>HTML + LLM</x:v>
      </x:c>
      <x:c r="E25" s="10" t="str">
        <x:v>Yes</x:v>
      </x:c>
      <x:c r="F25" s="10" t="str">
        <x:v>AI-assisted</x:v>
      </x:c>
      <x:c r="G25" s="10" t="str">
        <x:v>Question heading + following content block</x:v>
      </x:c>
      <x:c r="H25" s="10" t="str">
        <x:v>For each question-style heading, capture the next answer block until next heading; evaluate whether it directly answers and is self-contained; measure word count.</x:v>
      </x:c>
      <x:c r="I25" s="10" t="str">
        <x:v>Answer quality 60% + 40–60 word compliance 40%; average across eligible questions.</x:v>
      </x:c>
      <x:c r="J25" s="10" t="str">
        <x:v>Python section splitter + LLM evaluator.</x:v>
      </x:c>
      <x:c r="K25" s="10" t="str">
        <x:v>Answer Quality Agent</x:v>
      </x:c>
      <x:c r="L25" s="10" t="str">
        <x:v>None</x:v>
      </x:c>
      <x:c r="M25" s="10" t="str">
        <x:v>Question, extracted answer, word count, AI score</x:v>
      </x:c>
      <x:c r="N25" s="10" t="str">
        <x:v>High</x:v>
      </x:c>
      <x:c r="O25" s="10" t="str">
        <x:v>Derived from uploaded audit</x:v>
      </x:c>
    </x:row>
    <x:row r="26" ht="48" customHeight="1">
      <x:c r="A26" s="10" t="str">
        <x:v>ON-03</x:v>
      </x:c>
      <x:c r="B26" s="10" t="str">
        <x:v>On-Page / Content</x:v>
      </x:c>
      <x:c r="C26" s="10" t="str">
        <x:v>Clear definition sentences for every core concept</x:v>
      </x:c>
      <x:c r="D26" s="10" t="str">
        <x:v>NLP + LLM</x:v>
      </x:c>
      <x:c r="E26" s="10" t="str">
        <x:v>Yes</x:v>
      </x:c>
      <x:c r="F26" s="10" t="str">
        <x:v>AI-assisted</x:v>
      </x:c>
      <x:c r="G26" s="10" t="str">
        <x:v>Page text + target concepts</x:v>
      </x:c>
      <x:c r="H26" s="10" t="str">
        <x:v>Extract core service/technology concepts; detect explicit definitions; ask LLM to verify definition clarity and completeness.</x:v>
      </x:c>
      <x:c r="I26" s="10" t="str">
        <x:v>Defined core concepts / core concepts × 100; AI confidence weighted.</x:v>
      </x:c>
      <x:c r="J26" s="10" t="str">
        <x:v>Python NLP + LLM.</x:v>
      </x:c>
      <x:c r="K26" s="10" t="str">
        <x:v>Definition &amp; Clarity Agent</x:v>
      </x:c>
      <x:c r="L26" s="10" t="str">
        <x:v>None</x:v>
      </x:c>
      <x:c r="M26" s="10" t="str">
        <x:v>Concept list, definition sentence, verdict</x:v>
      </x:c>
      <x:c r="N26" s="10" t="str">
        <x:v>High</x:v>
      </x:c>
      <x:c r="O26" s="10" t="str">
        <x:v>Derived from uploaded audit</x:v>
      </x:c>
    </x:row>
    <x:row r="27" ht="48" customHeight="1">
      <x:c r="A27" s="10" t="str">
        <x:v>ON-04</x:v>
      </x:c>
      <x:c r="B27" s="10" t="str">
        <x:v>On-Page / Content</x:v>
      </x:c>
      <x:c r="C27" s="10" t="str">
        <x:v>Conclusion first, supporting detail after</x:v>
      </x:c>
      <x:c r="D27" s="10" t="str">
        <x:v>LLM + structure parser</x:v>
      </x:c>
      <x:c r="E27" s="10" t="str">
        <x:v>Yes</x:v>
      </x:c>
      <x:c r="F27" s="10" t="str">
        <x:v>AI-assisted</x:v>
      </x:c>
      <x:c r="G27" s="10" t="str">
        <x:v>First 1–2 paragraphs after H1</x:v>
      </x:c>
      <x:c r="H27" s="10" t="str">
        <x:v>Evaluate whether the page states the main answer/value proposition before supporting detail; avoid generic introductions.</x:v>
      </x:c>
      <x:c r="I27" s="10" t="str">
        <x:v>LLM score 0–100 based on directness, specificity and answer-first structure.</x:v>
      </x:c>
      <x:c r="J27" s="10" t="str">
        <x:v>Python extraction + LLM rubric.</x:v>
      </x:c>
      <x:c r="K27" s="10" t="str">
        <x:v>Content Structure Agent</x:v>
      </x:c>
      <x:c r="L27" s="10" t="str">
        <x:v>None</x:v>
      </x:c>
      <x:c r="M27" s="10" t="str">
        <x:v>Opening text, AI rationale, score</x:v>
      </x:c>
      <x:c r="N27" s="10" t="str">
        <x:v>Medium</x:v>
      </x:c>
      <x:c r="O27" s="10" t="str">
        <x:v>Derived from uploaded audit</x:v>
      </x:c>
    </x:row>
    <x:row r="28" ht="48" customHeight="1">
      <x:c r="A28" s="10" t="str">
        <x:v>ON-05</x:v>
      </x:c>
      <x:c r="B28" s="10" t="str">
        <x:v>On-Page / Content</x:v>
      </x:c>
      <x:c r="C28" s="10" t="str">
        <x:v>FAQ section on every service and solution page</x:v>
      </x:c>
      <x:c r="D28" s="10" t="str">
        <x:v>HTML + schema</x:v>
      </x:c>
      <x:c r="E28" s="10" t="str">
        <x:v>No</x:v>
      </x:c>
      <x:c r="F28" s="10" t="str">
        <x:v>Fully automated</x:v>
      </x:c>
      <x:c r="G28" s="10" t="str">
        <x:v>Service/solution pages</x:v>
      </x:c>
      <x:c r="H28" s="10" t="str">
        <x:v>Identify page type; check visible FAQ section and/or FAQPage schema; do not require FAQ on unrelated pages.</x:v>
      </x:c>
      <x:c r="I28" s="10" t="str">
        <x:v>Service pages with FAQ / service pages × 100.</x:v>
      </x:c>
      <x:c r="J28" s="10" t="str">
        <x:v>Python page-type classifier + DOM/schema checks.</x:v>
      </x:c>
      <x:c r="K28" s="10" t="str">
        <x:v>None</x:v>
      </x:c>
      <x:c r="L28" s="10" t="str">
        <x:v>None</x:v>
      </x:c>
      <x:c r="M28" s="10" t="str">
        <x:v>URL, page type, FAQ heading, FAQ schema</x:v>
      </x:c>
      <x:c r="N28" s="10" t="str">
        <x:v>High</x:v>
      </x:c>
      <x:c r="O28" s="10" t="str">
        <x:v>Derived from uploaded audit</x:v>
      </x:c>
    </x:row>
    <x:row r="29" ht="48" customHeight="1">
      <x:c r="A29" s="10" t="str">
        <x:v>ON-06</x:v>
      </x:c>
      <x:c r="B29" s="10" t="str">
        <x:v>On-Page / Content</x:v>
      </x:c>
      <x:c r="C29" s="10" t="str">
        <x:v>FAQ schema validity and answer consistency</x:v>
      </x:c>
      <x:c r="D29" s="10" t="str">
        <x:v>Schema + LLM</x:v>
      </x:c>
      <x:c r="E29" s="10" t="str">
        <x:v>Yes</x:v>
      </x:c>
      <x:c r="F29" s="10" t="str">
        <x:v>Hybrid</x:v>
      </x:c>
      <x:c r="G29" s="10" t="str">
        <x:v>FAQPage JSON-LD + visible FAQ content</x:v>
      </x:c>
      <x:c r="H29" s="10" t="str">
        <x:v>Compare schema questions/answers against visible FAQ; validate JSON; flag missing, extra or materially inconsistent items.</x:v>
      </x:c>
      <x:c r="I29" s="10" t="str">
        <x:v>Valid schema 50% + visible/schema consistency 50%.</x:v>
      </x:c>
      <x:c r="J29" s="10" t="str">
        <x:v>Python JSON-LD validator + LLM text matching.</x:v>
      </x:c>
      <x:c r="K29" s="10" t="str">
        <x:v>FAQ Consistency Agent</x:v>
      </x:c>
      <x:c r="L29" s="10" t="str">
        <x:v>None</x:v>
      </x:c>
      <x:c r="M29" s="10" t="str">
        <x:v>Schema entries, visible entries, mismatch details</x:v>
      </x:c>
      <x:c r="N29" s="10" t="str">
        <x:v>Medium</x:v>
      </x:c>
      <x:c r="O29" s="10" t="str">
        <x:v>Derived from uploaded audit</x:v>
      </x:c>
    </x:row>
    <x:row r="30" ht="48" customHeight="1">
      <x:c r="A30" s="10" t="str">
        <x:v>ON-07</x:v>
      </x:c>
      <x:c r="B30" s="10" t="str">
        <x:v>On-Page / Content</x:v>
      </x:c>
      <x:c r="C30" s="10" t="str">
        <x:v>Comparison and specification tables where buyers evaluate</x:v>
      </x:c>
      <x:c r="D30" s="10" t="str">
        <x:v>HTML + LLM</x:v>
      </x:c>
      <x:c r="E30" s="10" t="str">
        <x:v>Yes</x:v>
      </x:c>
      <x:c r="F30" s="10" t="str">
        <x:v>AI-assisted</x:v>
      </x:c>
      <x:c r="G30" s="10" t="str">
        <x:v>Comparison/solution pages</x:v>
      </x:c>
      <x:c r="H30" s="10" t="str">
        <x:v>Detect buyer-evaluation intents such as vs, alternatives, pricing, features, capabilities; check whether a real table exists and includes comparable attributes.</x:v>
      </x:c>
      <x:c r="I30" s="10" t="str">
        <x:v>Eligible pages with useful comparison table / eligible pages × 100; AI judges usefulness.</x:v>
      </x:c>
      <x:c r="J30" s="10" t="str">
        <x:v>Python DOM + LLM table evaluator.</x:v>
      </x:c>
      <x:c r="K30" s="10" t="str">
        <x:v>Comparison Content Agent</x:v>
      </x:c>
      <x:c r="L30" s="10" t="str">
        <x:v>None</x:v>
      </x:c>
      <x:c r="M30" s="10" t="str">
        <x:v>Page URL, intent, table presence, field quality</x:v>
      </x:c>
      <x:c r="N30" s="10" t="str">
        <x:v>Medium</x:v>
      </x:c>
      <x:c r="O30" s="10" t="str">
        <x:v>Derived from uploaded audit</x:v>
      </x:c>
    </x:row>
    <x:row r="31" ht="48" customHeight="1">
      <x:c r="A31" s="10" t="str">
        <x:v>ON-08</x:v>
      </x:c>
      <x:c r="B31" s="10" t="str">
        <x:v>On-Page / Content</x:v>
      </x:c>
      <x:c r="C31" s="10" t="str">
        <x:v>Lists and numbered steps that support answer extraction</x:v>
      </x:c>
      <x:c r="D31" s="10" t="str">
        <x:v>HTML + LLM</x:v>
      </x:c>
      <x:c r="E31" s="10" t="str">
        <x:v>Optional</x:v>
      </x:c>
      <x:c r="F31" s="10" t="str">
        <x:v>Hybrid</x:v>
      </x:c>
      <x:c r="G31" s="10" t="str">
        <x:v>Service/process pages</x:v>
      </x:c>
      <x:c r="H31" s="10" t="str">
        <x:v>Detect ordered/unordered lists; determine whether they represent procedures, benefits or evaluation criteria rather than decorative lists.</x:v>
      </x:c>
      <x:c r="I31" s="10" t="str">
        <x:v>Useful lists / eligible list opportunities × 100.</x:v>
      </x:c>
      <x:c r="J31" s="10" t="str">
        <x:v>Python DOM + optional LLM classification.</x:v>
      </x:c>
      <x:c r="K31" s="10" t="str">
        <x:v>AI can classify usefulness of list content.</x:v>
      </x:c>
      <x:c r="L31" s="10" t="str">
        <x:v>None</x:v>
      </x:c>
      <x:c r="M31" s="10" t="str">
        <x:v>List count, list purpose, usefulness</x:v>
      </x:c>
      <x:c r="N31" s="10" t="str">
        <x:v>Low</x:v>
      </x:c>
      <x:c r="O31" s="10" t="str">
        <x:v>Derived from uploaded audit</x:v>
      </x:c>
    </x:row>
    <x:row r="32" ht="48" customHeight="1">
      <x:c r="A32" s="10" t="str">
        <x:v>ON-09</x:v>
      </x:c>
      <x:c r="B32" s="10" t="str">
        <x:v>On-Page / Content</x:v>
      </x:c>
      <x:c r="C32" s="10" t="str">
        <x:v>Natural, conversational phrasing rather than keyword strings</x:v>
      </x:c>
      <x:c r="D32" s="10" t="str">
        <x:v>NLP + LLM</x:v>
      </x:c>
      <x:c r="E32" s="10" t="str">
        <x:v>Yes</x:v>
      </x:c>
      <x:c r="F32" s="10" t="str">
        <x:v>AI-assisted</x:v>
      </x:c>
      <x:c r="G32" s="10" t="str">
        <x:v>Page copy</x:v>
      </x:c>
      <x:c r="H32" s="10" t="str">
        <x:v>Calculate repeated term frequency and ask LLM to judge naturalness, readability and whether phrasing feels query-generated or stuffed.</x:v>
      </x:c>
      <x:c r="I32" s="10" t="str">
        <x:v>Combine lexical stuffing penalty and LLM naturalness score.</x:v>
      </x:c>
      <x:c r="J32" s="10" t="str">
        <x:v>Python NLP + LLM.</x:v>
      </x:c>
      <x:c r="K32" s="10" t="str">
        <x:v>Content Quality Agent</x:v>
      </x:c>
      <x:c r="L32" s="10" t="str">
        <x:v>None</x:v>
      </x:c>
      <x:c r="M32" s="10" t="str">
        <x:v>Top terms, density, AI naturalness score</x:v>
      </x:c>
      <x:c r="N32" s="10" t="str">
        <x:v>Medium</x:v>
      </x:c>
      <x:c r="O32" s="10" t="str">
        <x:v>Derived from uploaded audit</x:v>
      </x:c>
    </x:row>
    <x:row r="33" ht="48" customHeight="1">
      <x:c r="A33" s="10" t="str">
        <x:v>ON-10</x:v>
      </x:c>
      <x:c r="B33" s="10" t="str">
        <x:v>On-Page / Content</x:v>
      </x:c>
      <x:c r="C33" s="10" t="str">
        <x:v>Keyword stuffing / unnatural repetition</x:v>
      </x:c>
      <x:c r="D33" s="10" t="str">
        <x:v>NLP</x:v>
      </x:c>
      <x:c r="E33" s="10" t="str">
        <x:v>No</x:v>
      </x:c>
      <x:c r="F33" s="10" t="str">
        <x:v>Automated + NLP</x:v>
      </x:c>
      <x:c r="G33" s="10" t="str">
        <x:v>Page text</x:v>
      </x:c>
      <x:c r="H33" s="10" t="str">
        <x:v>Compute unigram/bigram frequency, repeated phrase density and concentration by section; flag abnormal repetition against site/page benchmark.</x:v>
      </x:c>
      <x:c r="I33" s="10" t="str">
        <x:v>Penalty score from density and repetition z-score.</x:v>
      </x:c>
      <x:c r="J33" s="10" t="str">
        <x:v>Python spaCy/nltk + configurable thresholds.</x:v>
      </x:c>
      <x:c r="K33" s="10" t="str">
        <x:v>None</x:v>
      </x:c>
      <x:c r="L33" s="10" t="str">
        <x:v>None</x:v>
      </x:c>
      <x:c r="M33" s="10" t="str">
        <x:v>Top repeated terms, density, penalty</x:v>
      </x:c>
      <x:c r="N33" s="10" t="str">
        <x:v>Medium</x:v>
      </x:c>
      <x:c r="O33" s="10" t="str">
        <x:v>Derived from uploaded audit</x:v>
      </x:c>
    </x:row>
    <x:row r="34" ht="48" customHeight="1">
      <x:c r="A34" s="10" t="str">
        <x:v>ON-11</x:v>
      </x:c>
      <x:c r="B34" s="10" t="str">
        <x:v>On-Page / Content</x:v>
      </x:c>
      <x:c r="C34" s="10" t="str">
        <x:v>Content depth and completeness</x:v>
      </x:c>
      <x:c r="D34" s="10" t="str">
        <x:v>NLP + LLM</x:v>
      </x:c>
      <x:c r="E34" s="10" t="str">
        <x:v>Yes</x:v>
      </x:c>
      <x:c r="F34" s="10" t="str">
        <x:v>AI-assisted</x:v>
      </x:c>
      <x:c r="G34" s="10" t="str">
        <x:v>Full page content + page type</x:v>
      </x:c>
      <x:c r="H34" s="10" t="str">
        <x:v>Compare page coverage against expected intent topics; identify missing subtopics, unanswered questions and unsupported claims.</x:v>
      </x:c>
      <x:c r="I34" s="10" t="str">
        <x:v>Coverage score = covered expected topics / expected topics × 100; LLM confidence weighted.</x:v>
      </x:c>
      <x:c r="J34" s="10" t="str">
        <x:v>Embeddings + LLM rubric; maintain page-type topic templates.</x:v>
      </x:c>
      <x:c r="K34" s="10" t="str">
        <x:v>Topic Coverage Agent</x:v>
      </x:c>
      <x:c r="L34" s="10" t="str">
        <x:v>None</x:v>
      </x:c>
      <x:c r="M34" s="10" t="str">
        <x:v>Topic checklist, missing topics, score</x:v>
      </x:c>
      <x:c r="N34" s="10" t="str">
        <x:v>High</x:v>
      </x:c>
      <x:c r="O34" s="10" t="str">
        <x:v>Derived from uploaded audit</x:v>
      </x:c>
    </x:row>
    <x:row r="35" ht="48" customHeight="1">
      <x:c r="A35" s="10" t="str">
        <x:v>ON-12</x:v>
      </x:c>
      <x:c r="B35" s="10" t="str">
        <x:v>On-Page / Content</x:v>
      </x:c>
      <x:c r="C35" s="10" t="str">
        <x:v>Original, citable data point on major pages</x:v>
      </x:c>
      <x:c r="D35" s="10" t="str">
        <x:v>NLP + LLM</x:v>
      </x:c>
      <x:c r="E35" s="10" t="str">
        <x:v>Yes</x:v>
      </x:c>
      <x:c r="F35" s="10" t="str">
        <x:v>AI-assisted</x:v>
      </x:c>
      <x:c r="G35" s="10" t="str">
        <x:v>Numbers/statistics/tables in page text</x:v>
      </x:c>
      <x:c r="H35" s="10" t="str">
        <x:v>Extract statistics; determine whether they appear original to the company and whether a citation/source context is supplied.</x:v>
      </x:c>
      <x:c r="I35" s="10" t="str">
        <x:v>Major pages with &gt;=1 credible data point / major pages × 100; LLM assesses originality/context.</x:v>
      </x:c>
      <x:c r="J35" s="10" t="str">
        <x:v>Python numeric extractor + LLM verifier.</x:v>
      </x:c>
      <x:c r="K35" s="10" t="str">
        <x:v>Evidence &amp; Claims Agent</x:v>
      </x:c>
      <x:c r="L35" s="10" t="str">
        <x:v>None</x:v>
      </x:c>
      <x:c r="M35" s="10" t="str">
        <x:v>Statistic, context, source text, AI verdict</x:v>
      </x:c>
      <x:c r="N35" s="10" t="str">
        <x:v>Medium</x:v>
      </x:c>
      <x:c r="O35" s="10" t="str">
        <x:v>Derived from uploaded audit</x:v>
      </x:c>
    </x:row>
    <x:row r="36" ht="48" customHeight="1">
      <x:c r="A36" s="10" t="str">
        <x:v>ON-13</x:v>
      </x:c>
      <x:c r="B36" s="10" t="str">
        <x:v>On-Page / Content</x:v>
      </x:c>
      <x:c r="C36" s="10" t="str">
        <x:v>Named author with role, credentials and real profile</x:v>
      </x:c>
      <x:c r="D36" s="10" t="str">
        <x:v>HTML + schema</x:v>
      </x:c>
      <x:c r="E36" s="10" t="str">
        <x:v>Optional</x:v>
      </x:c>
      <x:c r="F36" s="10" t="str">
        <x:v>Hybrid</x:v>
      </x:c>
      <x:c r="G36" s="10" t="str">
        <x:v>Byline + Person schema + author page</x:v>
      </x:c>
      <x:c r="H36" s="10" t="str">
        <x:v>Extract author name, role, credentials and profile; verify link and profile consistency.</x:v>
      </x:c>
      <x:c r="I36" s="10" t="str">
        <x:v>Completeness score across required fields; LLM optional for credential relevance.</x:v>
      </x:c>
      <x:c r="J36" s="10" t="str">
        <x:v>Python parser + optional LLM.</x:v>
      </x:c>
      <x:c r="K36" s="10" t="str">
        <x:v>None</x:v>
      </x:c>
      <x:c r="L36" s="10" t="str">
        <x:v>None</x:v>
      </x:c>
      <x:c r="M36" s="10" t="str">
        <x:v>Author fields, profile URL, completeness</x:v>
      </x:c>
      <x:c r="N36" s="10" t="str">
        <x:v>Medium</x:v>
      </x:c>
      <x:c r="O36" s="10" t="str">
        <x:v>Derived from uploaded audit</x:v>
      </x:c>
    </x:row>
    <x:row r="37" ht="48" customHeight="1">
      <x:c r="A37" s="10" t="str">
        <x:v>ON-14</x:v>
      </x:c>
      <x:c r="B37" s="10" t="str">
        <x:v>On-Page / Content</x:v>
      </x:c>
      <x:c r="C37" s="10" t="str">
        <x:v>Named clients, quantified outcomes, deployment detail</x:v>
      </x:c>
      <x:c r="D37" s="10" t="str">
        <x:v>NLP + LLM</x:v>
      </x:c>
      <x:c r="E37" s="10" t="str">
        <x:v>Yes</x:v>
      </x:c>
      <x:c r="F37" s="10" t="str">
        <x:v>AI-assisted</x:v>
      </x:c>
      <x:c r="G37" s="10" t="str">
        <x:v>Case studies/service pages</x:v>
      </x:c>
      <x:c r="H37" s="10" t="str">
        <x:v>Detect client references, numbers/results, deployment context, time frame and solution details; classify evidence strength.</x:v>
      </x:c>
      <x:c r="I37" s="10" t="str">
        <x:v>Evidence score: client 25% + quantified outcome 30% + deployment detail 25% + context 20%.</x:v>
      </x:c>
      <x:c r="J37" s="10" t="str">
        <x:v>Python extraction + LLM evidence classifier.</x:v>
      </x:c>
      <x:c r="K37" s="10" t="str">
        <x:v>Proof &amp; Case Study Agent</x:v>
      </x:c>
      <x:c r="L37" s="10" t="str">
        <x:v>None</x:v>
      </x:c>
      <x:c r="M37" s="10" t="str">
        <x:v>Client mention, KPI, deployment detail, AI score</x:v>
      </x:c>
      <x:c r="N37" s="10" t="str">
        <x:v>Medium</x:v>
      </x:c>
      <x:c r="O37" s="10" t="str">
        <x:v>Derived from uploaded audit</x:v>
      </x:c>
    </x:row>
    <x:row r="38" ht="48" customHeight="1">
      <x:c r="A38" s="10" t="str">
        <x:v>ON-15</x:v>
      </x:c>
      <x:c r="B38" s="10" t="str">
        <x:v>On-Page / Content</x:v>
      </x:c>
      <x:c r="C38" s="10" t="str">
        <x:v>Claims sourced and dated to a primary source</x:v>
      </x:c>
      <x:c r="D38" s="10" t="str">
        <x:v>NLP + URL analysis</x:v>
      </x:c>
      <x:c r="E38" s="10" t="str">
        <x:v>Yes</x:v>
      </x:c>
      <x:c r="F38" s="10" t="str">
        <x:v>Hybrid</x:v>
      </x:c>
      <x:c r="G38" s="10" t="str">
        <x:v>External links/citations in page copy</x:v>
      </x:c>
      <x:c r="H38" s="10" t="str">
        <x:v>Extract factual claims and nearby citations; resolve linked sources; assess whether sources appear primary and dated/current.</x:v>
      </x:c>
      <x:c r="I38" s="10" t="str">
        <x:v>Sourced claims / material claims × 100; LLM classifies primary-source quality.</x:v>
      </x:c>
      <x:c r="J38" s="10" t="str">
        <x:v>Python link resolver + LLM source evaluator.</x:v>
      </x:c>
      <x:c r="K38" s="10" t="str">
        <x:v>Evidence &amp; Claims Agent</x:v>
      </x:c>
      <x:c r="L38" s="10" t="str">
        <x:v>External source pages</x:v>
      </x:c>
      <x:c r="M38" s="10" t="str">
        <x:v>Claim text, URL, date, primary-source verdict</x:v>
      </x:c>
      <x:c r="N38" s="10" t="str">
        <x:v>High</x:v>
      </x:c>
      <x:c r="O38" s="10" t="str">
        <x:v>Derived from uploaded audit</x:v>
      </x:c>
    </x:row>
    <x:row r="39" ht="48" customHeight="1">
      <x:c r="A39" s="10" t="str">
        <x:v>ON-16</x:v>
      </x:c>
      <x:c r="B39" s="10" t="str">
        <x:v>On-Page / Content</x:v>
      </x:c>
      <x:c r="C39" s="10" t="str">
        <x:v>Reviewer or technical approver named where it matters</x:v>
      </x:c>
      <x:c r="D39" s="10" t="str">
        <x:v>HTML + LLM</x:v>
      </x:c>
      <x:c r="E39" s="10" t="str">
        <x:v>Yes</x:v>
      </x:c>
      <x:c r="F39" s="10" t="str">
        <x:v>AI-assisted</x:v>
      </x:c>
      <x:c r="G39" s="10" t="str">
        <x:v>Technical/service content pages</x:v>
      </x:c>
      <x:c r="H39" s="10" t="str">
        <x:v>Detect reviewer/reviewed-by signals and named technical approver; assess whether reviewer role is relevant to topic.</x:v>
      </x:c>
      <x:c r="I39" s="10" t="str">
        <x:v>Relevant pages with qualified reviewer / pages requiring review × 100.</x:v>
      </x:c>
      <x:c r="J39" s="10" t="str">
        <x:v>Python parser + LLM role relevance.</x:v>
      </x:c>
      <x:c r="K39" s="10" t="str">
        <x:v>Expert Review Agent</x:v>
      </x:c>
      <x:c r="L39" s="10" t="str">
        <x:v>None</x:v>
      </x:c>
      <x:c r="M39" s="10" t="str">
        <x:v>Reviewer name, role, relevance score</x:v>
      </x:c>
      <x:c r="N39" s="10" t="str">
        <x:v>Medium</x:v>
      </x:c>
      <x:c r="O39" s="10" t="str">
        <x:v>Derived from uploaded audit</x:v>
      </x:c>
    </x:row>
    <x:row r="40" ht="48" customHeight="1">
      <x:c r="A40" s="10" t="str">
        <x:v>ON-17</x:v>
      </x:c>
      <x:c r="B40" s="10" t="str">
        <x:v>On-Page / Content</x:v>
      </x:c>
      <x:c r="C40" s="10" t="str">
        <x:v>Last substantive update within topic shelf life</x:v>
      </x:c>
      <x:c r="D40" s="10" t="str">
        <x:v>HTML + LLM</x:v>
      </x:c>
      <x:c r="E40" s="10" t="str">
        <x:v>Yes</x:v>
      </x:c>
      <x:c r="F40" s="10" t="str">
        <x:v>Hybrid</x:v>
      </x:c>
      <x:c r="G40" s="10" t="str">
        <x:v>Date metadata + content change indicators</x:v>
      </x:c>
      <x:c r="H40" s="10" t="str">
        <x:v>Extract modified dates; classify topic shelf life; optionally compare current claims against dates and version text.</x:v>
      </x:c>
      <x:c r="I40" s="10" t="str">
        <x:v>Fresh pages / pages with freshness expectation × 100; LLM can judge whether update is substantive.</x:v>
      </x:c>
      <x:c r="J40" s="10" t="str">
        <x:v>Python dates + LLM freshness evaluator.</x:v>
      </x:c>
      <x:c r="K40" s="10" t="str">
        <x:v>Content Freshness Agent</x:v>
      </x:c>
      <x:c r="L40" s="10" t="str">
        <x:v>None</x:v>
      </x:c>
      <x:c r="M40" s="10" t="str">
        <x:v>Last updated date, topic class, freshness verdict</x:v>
      </x:c>
      <x:c r="N40" s="10" t="str">
        <x:v>Medium</x:v>
      </x:c>
      <x:c r="O40" s="10" t="str">
        <x:v>Derived from uploaded audit</x:v>
      </x:c>
    </x:row>
    <x:row r="41" ht="48" customHeight="1">
      <x:c r="A41" s="10" t="str">
        <x:v>ON-18</x:v>
      </x:c>
      <x:c r="B41" s="10" t="str">
        <x:v>On-Page / Content</x:v>
      </x:c>
      <x:c r="C41" s="10" t="str">
        <x:v>Buying-journey coverage across discovery to decision</x:v>
      </x:c>
      <x:c r="D41" s="10" t="str">
        <x:v>Embeddings + LLM</x:v>
      </x:c>
      <x:c r="E41" s="10" t="str">
        <x:v>Yes</x:v>
      </x:c>
      <x:c r="F41" s="10" t="str">
        <x:v>AI-assisted</x:v>
      </x:c>
      <x:c r="G41" s="10" t="str">
        <x:v>Sitemap URLs + page text</x:v>
      </x:c>
      <x:c r="H41" s="10" t="str">
        <x:v>Classify pages into awareness, qualification, comparison, objection, trust and decision stages; find missing stages.</x:v>
      </x:c>
      <x:c r="I41" s="10" t="str">
        <x:v>Covered stages / 6 × 100; LLM confidence weighted.</x:v>
      </x:c>
      <x:c r="J41" s="10" t="str">
        <x:v>Embeddings + LLM page classifier + URL taxonomy.</x:v>
      </x:c>
      <x:c r="K41" s="10" t="str">
        <x:v>Journey Mapping Agent</x:v>
      </x:c>
      <x:c r="L41" s="10" t="str">
        <x:v>None</x:v>
      </x:c>
      <x:c r="M41" s="10" t="str">
        <x:v>Page-to-stage mapping, gaps</x:v>
      </x:c>
      <x:c r="N41" s="10" t="str">
        <x:v>High</x:v>
      </x:c>
      <x:c r="O41" s="10" t="str">
        <x:v>Derived from uploaded audit</x:v>
      </x:c>
    </x:row>
    <x:row r="42" ht="48" customHeight="1">
      <x:c r="A42" s="10" t="str">
        <x:v>ON-19</x:v>
      </x:c>
      <x:c r="B42" s="10" t="str">
        <x:v>On-Page / Content</x:v>
      </x:c>
      <x:c r="C42" s="10" t="str">
        <x:v>Best X for Y and X vs Y pages per industry/market</x:v>
      </x:c>
      <x:c r="D42" s="10" t="str">
        <x:v>Search intent + LLM</x:v>
      </x:c>
      <x:c r="E42" s="10" t="str">
        <x:v>Yes</x:v>
      </x:c>
      <x:c r="F42" s="10" t="str">
        <x:v>AI-assisted</x:v>
      </x:c>
      <x:c r="G42" s="10" t="str">
        <x:v>Sitemap + page headings/URLs</x:v>
      </x:c>
      <x:c r="H42" s="10" t="str">
        <x:v>Detect comparison/best-for content patterns across target services, industries and markets; identify missing high-intent combinations.</x:v>
      </x:c>
      <x:c r="I42" s="10" t="str">
        <x:v>Covered target combinations / expected combinations × 100.</x:v>
      </x:c>
      <x:c r="J42" s="10" t="str">
        <x:v>Python URL pattern scan + LLM semantic matching.</x:v>
      </x:c>
      <x:c r="K42" s="10" t="str">
        <x:v>Commercial Intent Agent</x:v>
      </x:c>
      <x:c r="L42" s="10" t="str">
        <x:v>None</x:v>
      </x:c>
      <x:c r="M42" s="10" t="str">
        <x:v>Existing combinations, missing combinations</x:v>
      </x:c>
      <x:c r="N42" s="10" t="str">
        <x:v>Medium</x:v>
      </x:c>
      <x:c r="O42" s="10" t="str">
        <x:v>Derived from uploaded audit</x:v>
      </x:c>
    </x:row>
    <x:row r="43" ht="48" customHeight="1">
      <x:c r="A43" s="10" t="str">
        <x:v>ON-20</x:v>
      </x:c>
      <x:c r="B43" s="10" t="str">
        <x:v>On-Page / Content</x:v>
      </x:c>
      <x:c r="C43" s="10" t="str">
        <x:v>No two pages competing for the same question (cannibalization)</x:v>
      </x:c>
      <x:c r="D43" s="10" t="str">
        <x:v>Embeddings + LLM</x:v>
      </x:c>
      <x:c r="E43" s="10" t="str">
        <x:v>Yes</x:v>
      </x:c>
      <x:c r="F43" s="10" t="str">
        <x:v>AI-assisted</x:v>
      </x:c>
      <x:c r="G43" s="10" t="str">
        <x:v>All crawled page titles, headings and body embeddings</x:v>
      </x:c>
      <x:c r="H43" s="10" t="str">
        <x:v>Generate question/intent representations for pages; compute pairwise similarity; ask LLM to confirm whether high-similarity pages compete.</x:v>
      </x:c>
      <x:c r="I43" s="10" t="str">
        <x:v>Penalty for confirmed overlapping intents; e.g. similarity &gt;0.85 requires review.</x:v>
      </x:c>
      <x:c r="J43" s="10" t="str">
        <x:v>Embeddings + vector similarity + LLM adjudication.</x:v>
      </x:c>
      <x:c r="K43" s="10" t="str">
        <x:v>Intent Cannibalization Agent</x:v>
      </x:c>
      <x:c r="L43" s="10" t="str">
        <x:v>None</x:v>
      </x:c>
      <x:c r="M43" s="10" t="str">
        <x:v>Page pair, similarity, shared intent, recommendation</x:v>
      </x:c>
      <x:c r="N43" s="10" t="str">
        <x:v>High</x:v>
      </x:c>
      <x:c r="O43" s="10" t="str">
        <x:v>Derived from uploaded audit</x:v>
      </x:c>
    </x:row>
    <x:row r="44" ht="48" customHeight="1">
      <x:c r="A44" s="10" t="str">
        <x:v>ON-21</x:v>
      </x:c>
      <x:c r="B44" s="10" t="str">
        <x:v>On-Page / Content</x:v>
      </x:c>
      <x:c r="C44" s="10" t="str">
        <x:v>No thin or near-duplicate pages diluting the topic</x:v>
      </x:c>
      <x:c r="D44" s="10" t="str">
        <x:v>NLP + embeddings</x:v>
      </x:c>
      <x:c r="E44" s="10" t="str">
        <x:v>No</x:v>
      </x:c>
      <x:c r="F44" s="10" t="str">
        <x:v>Automated + ML</x:v>
      </x:c>
      <x:c r="G44" s="10" t="str">
        <x:v>All crawled pages</x:v>
      </x:c>
      <x:c r="H44" s="10" t="str">
        <x:v>Compute word count and content fingerprints; compare near-duplicate similarity; flag thin pages relative to page type.</x:v>
      </x:c>
      <x:c r="I44" s="10" t="str">
        <x:v>Thinness + duplicate penalties; configurable thresholds by template.</x:v>
      </x:c>
      <x:c r="J44" s="10" t="str">
        <x:v>Python text extraction + MinHash/embeddings.</x:v>
      </x:c>
      <x:c r="K44" s="10" t="str">
        <x:v>None</x:v>
      </x:c>
      <x:c r="L44" s="10" t="str">
        <x:v>None</x:v>
      </x:c>
      <x:c r="M44" s="10" t="str">
        <x:v>Page word count, duplicate cluster, similarity</x:v>
      </x:c>
      <x:c r="N44" s="10" t="str">
        <x:v>High</x:v>
      </x:c>
      <x:c r="O44" s="10" t="str">
        <x:v>Derived from uploaded audit</x:v>
      </x:c>
    </x:row>
    <x:row r="45" ht="48" customHeight="1">
      <x:c r="A45" s="10" t="str">
        <x:v>ON-22</x:v>
      </x:c>
      <x:c r="B45" s="10" t="str">
        <x:v>On-Page / Content</x:v>
      </x:c>
      <x:c r="C45" s="10" t="str">
        <x:v>Brand named alongside category, industry and geography</x:v>
      </x:c>
      <x:c r="D45" s="10" t="str">
        <x:v>NLP + LLM</x:v>
      </x:c>
      <x:c r="E45" s="10" t="str">
        <x:v>Yes</x:v>
      </x:c>
      <x:c r="F45" s="10" t="str">
        <x:v>AI-assisted</x:v>
      </x:c>
      <x:c r="G45" s="10" t="str">
        <x:v>Key pages + entity mentions</x:v>
      </x:c>
      <x:c r="H45" s="10" t="str">
        <x:v>Check co-occurrence of brand name with relevant category, industry/service and geography; LLM verifies semantic association rather than simple proximity.</x:v>
      </x:c>
      <x:c r="I45" s="10" t="str">
        <x:v>Pages satisfying all required entity associations / eligible pages × 100.</x:v>
      </x:c>
      <x:c r="J45" s="10" t="str">
        <x:v>Python entity extraction + LLM semantic relation check.</x:v>
      </x:c>
      <x:c r="K45" s="10" t="str">
        <x:v>Entity Association Agent</x:v>
      </x:c>
      <x:c r="L45" s="10" t="str">
        <x:v>None</x:v>
      </x:c>
      <x:c r="M45" s="10" t="str">
        <x:v>Brand/category/industry/geo evidence</x:v>
      </x:c>
      <x:c r="N45" s="10" t="str">
        <x:v>Medium</x:v>
      </x:c>
      <x:c r="O45" s="10" t="str">
        <x:v>Derived from uploaded audit</x:v>
      </x:c>
    </x:row>
    <x:row r="46" ht="48" customHeight="1">
      <x:c r="A46" s="10" t="str">
        <x:v>OFF-01</x:v>
      </x:c>
      <x:c r="B46" s="10" t="str">
        <x:v>Off-Page / Authority</x:v>
      </x:c>
      <x:c r="C46" s="10" t="str">
        <x:v>Wikidata entry present and accurate</x:v>
      </x:c>
      <x:c r="D46" s="10" t="str">
        <x:v>External API + Python + LLM</x:v>
      </x:c>
      <x:c r="E46" s="10" t="str">
        <x:v>Yes</x:v>
      </x:c>
      <x:c r="F46" s="10" t="str">
        <x:v>Hybrid</x:v>
      </x:c>
      <x:c r="G46" s="10" t="str">
        <x:v>Wikidata search/API using company name/domain</x:v>
      </x:c>
      <x:c r="H46" s="10" t="str">
        <x:v>Search for organization entity; compare website, name, aliases and key facts; LLM resolves ambiguous entity matches.</x:v>
      </x:c>
      <x:c r="I46" s="10" t="str">
        <x:v>Presence 40% + identity match 30% + field accuracy 30%.</x:v>
      </x:c>
      <x:c r="J46" s="10" t="str">
        <x:v>Python API client + LLM entity resolution.</x:v>
      </x:c>
      <x:c r="K46" s="10" t="str">
        <x:v>Entity Research Agent</x:v>
      </x:c>
      <x:c r="L46" s="10" t="str">
        <x:v>Wikidata API</x:v>
      </x:c>
      <x:c r="M46" s="10" t="str">
        <x:v>Entity ID, matched fields, mismatch list</x:v>
      </x:c>
      <x:c r="N46" s="10" t="str">
        <x:v>Low</x:v>
      </x:c>
      <x:c r="O46" s="10" t="str">
        <x:v>Derived from uploaded audit</x:v>
      </x:c>
    </x:row>
    <x:row r="47" ht="48" customHeight="1">
      <x:c r="A47" s="10" t="str">
        <x:v>OFF-02</x:v>
      </x:c>
      <x:c r="B47" s="10" t="str">
        <x:v>Off-Page / Authority</x:v>
      </x:c>
      <x:c r="C47" s="10" t="str">
        <x:v>Wikipedia or comparable reference source</x:v>
      </x:c>
      <x:c r="D47" s="10" t="str">
        <x:v>Web research + LLM</x:v>
      </x:c>
      <x:c r="E47" s="10" t="str">
        <x:v>Yes</x:v>
      </x:c>
      <x:c r="F47" s="10" t="str">
        <x:v>AI-assisted</x:v>
      </x:c>
      <x:c r="G47" s="10" t="str">
        <x:v>Search engine / public reference pages</x:v>
      </x:c>
      <x:c r="H47" s="10" t="str">
        <x:v>Search for authoritative reference pages about the company; evaluate whether page is genuinely about the organization and what is cited.</x:v>
      </x:c>
      <x:c r="I47" s="10" t="str">
        <x:v>Presence 50% + source authority 30% + entity accuracy 20%.</x:v>
      </x:c>
      <x:c r="J47" s="10" t="str">
        <x:v>Search connector + LLM source-quality evaluator.</x:v>
      </x:c>
      <x:c r="K47" s="10" t="str">
        <x:v>Entity Research Agent</x:v>
      </x:c>
      <x:c r="L47" s="10" t="str">
        <x:v>Search/web data</x:v>
      </x:c>
      <x:c r="M47" s="10" t="str">
        <x:v>Source URL, source type, entity match</x:v>
      </x:c>
      <x:c r="N47" s="10" t="str">
        <x:v>Low</x:v>
      </x:c>
      <x:c r="O47" s="10" t="str">
        <x:v>Derived from uploaded audit</x:v>
      </x:c>
    </x:row>
    <x:row r="48" ht="48" customHeight="1">
      <x:c r="A48" s="10" t="str">
        <x:v>OFF-03</x:v>
      </x:c>
      <x:c r="B48" s="10" t="str">
        <x:v>Off-Page / Authority</x:v>
      </x:c>
      <x:c r="C48" s="10" t="str">
        <x:v>Google Knowledge Panel presence and consistency</x:v>
      </x:c>
      <x:c r="D48" s="10" t="str">
        <x:v>Web research + LLM</x:v>
      </x:c>
      <x:c r="E48" s="10" t="str">
        <x:v>Yes</x:v>
      </x:c>
      <x:c r="F48" s="10" t="str">
        <x:v>AI-assisted</x:v>
      </x:c>
      <x:c r="G48" s="10" t="str">
        <x:v>Search results / knowledge graph signals</x:v>
      </x:c>
      <x:c r="H48" s="10" t="str">
        <x:v>Search brand/entity; detect knowledge panel or structured entity result where programmatically observable; compare identity facts.</x:v>
      </x:c>
      <x:c r="I48" s="10" t="str">
        <x:v>Presence 50% + fact consistency 50%; UNKNOWN where search UI cannot be reliably observed.</x:v>
      </x:c>
      <x:c r="J48" s="10" t="str">
        <x:v>Search/browser agent + LLM comparison.</x:v>
      </x:c>
      <x:c r="K48" s="10" t="str">
        <x:v>Entity Research Agent</x:v>
      </x:c>
      <x:c r="L48" s="10" t="str">
        <x:v>Search/knowledge data</x:v>
      </x:c>
      <x:c r="M48" s="10" t="str">
        <x:v>Query, observed entity facts, screenshot/evidence</x:v>
      </x:c>
      <x:c r="N48" s="10" t="str">
        <x:v>Low</x:v>
      </x:c>
      <x:c r="O48" s="10" t="str">
        <x:v>Derived from uploaded audit</x:v>
      </x:c>
    </x:row>
    <x:row r="49" ht="48" customHeight="1">
      <x:c r="A49" s="10" t="str">
        <x:v>OFF-04</x:v>
      </x:c>
      <x:c r="B49" s="10" t="str">
        <x:v>Off-Page / Authority</x:v>
      </x:c>
      <x:c r="C49" s="10" t="str">
        <x:v>Company profiles complete and consistent across LinkedIn/Crunchbase/Bloomberg/ZoomInfo</x:v>
      </x:c>
      <x:c r="D49" s="10" t="str">
        <x:v>APIs + web research + LLM</x:v>
      </x:c>
      <x:c r="E49" s="10" t="str">
        <x:v>Yes</x:v>
      </x:c>
      <x:c r="F49" s="10" t="str">
        <x:v>Hybrid</x:v>
      </x:c>
      <x:c r="G49" s="10" t="str">
        <x:v>Public company profiles or licensed APIs</x:v>
      </x:c>
      <x:c r="H49" s="10" t="str">
        <x:v>Retrieve profile fields; normalize company name, website, industry, HQ and descriptions; compare against canonical company facts.</x:v>
      </x:c>
      <x:c r="I49" s="10" t="str">
        <x:v>Match ratio across fields and sources; penalize stale/missing profiles.</x:v>
      </x:c>
      <x:c r="J49" s="10" t="str">
        <x:v>Python connectors + LLM normalization.</x:v>
      </x:c>
      <x:c r="K49" s="10" t="str">
        <x:v>Authority Consistency Agent</x:v>
      </x:c>
      <x:c r="L49" s="10" t="str">
        <x:v>Provider APIs / licensed data</x:v>
      </x:c>
      <x:c r="M49" s="10" t="str">
        <x:v>Source-by-source field matrix</x:v>
      </x:c>
      <x:c r="N49" s="10" t="str">
        <x:v>Medium</x:v>
      </x:c>
      <x:c r="O49" s="10" t="str">
        <x:v>Derived from uploaded audit</x:v>
      </x:c>
    </x:row>
    <x:row r="50" ht="48" customHeight="1">
      <x:c r="A50" s="10" t="str">
        <x:v>OFF-05</x:v>
      </x:c>
      <x:c r="B50" s="10" t="str">
        <x:v>Off-Page / Authority</x:v>
      </x:c>
      <x:c r="C50" s="10" t="str">
        <x:v>Company name, address and details identical across sources</x:v>
      </x:c>
      <x:c r="D50" s="10" t="str">
        <x:v>Data normalization + LLM</x:v>
      </x:c>
      <x:c r="E50" s="10" t="str">
        <x:v>Yes</x:v>
      </x:c>
      <x:c r="F50" s="10" t="str">
        <x:v>Hybrid</x:v>
      </x:c>
      <x:c r="G50" s="10" t="str">
        <x:v>Collected authority/review/directory records</x:v>
      </x:c>
      <x:c r="H50" s="10" t="str">
        <x:v>Build canonical identity record from website; compare NAP and company attributes across sources; classify material vs cosmetic differences.</x:v>
      </x:c>
      <x:c r="I50" s="10" t="str">
        <x:v>Matching fields / fields checked × 100; weighted by importance.</x:v>
      </x:c>
      <x:c r="J50" s="10" t="str">
        <x:v>Python normalization + LLM ambiguity resolver.</x:v>
      </x:c>
      <x:c r="K50" s="10" t="str">
        <x:v>Authority Consistency Agent</x:v>
      </x:c>
      <x:c r="L50" s="10" t="str">
        <x:v>External sources</x:v>
      </x:c>
      <x:c r="M50" s="10" t="str">
        <x:v>Canonical vs source values, mismatch severity</x:v>
      </x:c>
      <x:c r="N50" s="10" t="str">
        <x:v>High</x:v>
      </x:c>
      <x:c r="O50" s="10" t="str">
        <x:v>Derived from uploaded audit</x:v>
      </x:c>
    </x:row>
    <x:row r="51" ht="48" customHeight="1">
      <x:c r="A51" s="10" t="str">
        <x:v>OFF-06</x:v>
      </x:c>
      <x:c r="B51" s="10" t="str">
        <x:v>Off-Page / Authority</x:v>
      </x:c>
      <x:c r="C51" s="10" t="str">
        <x:v>Certifications verifiable off-site (CMMI, ISO, partner tiers)</x:v>
      </x:c>
      <x:c r="D51" s="10" t="str">
        <x:v>Web research + LLM</x:v>
      </x:c>
      <x:c r="E51" s="10" t="str">
        <x:v>Yes</x:v>
      </x:c>
      <x:c r="F51" s="10" t="str">
        <x:v>AI-assisted</x:v>
      </x:c>
      <x:c r="G51" s="10" t="str">
        <x:v>Certification bodies / partner directories</x:v>
      </x:c>
      <x:c r="H51" s="10" t="str">
        <x:v>Extract certification claims from site; search authoritative issuer records; verify company name, certificate type and current validity.</x:v>
      </x:c>
      <x:c r="I51" s="10" t="str">
        <x:v>Verified claims / claimed certs × 100.</x:v>
      </x:c>
      <x:c r="J51" s="10" t="str">
        <x:v>Search/browser + LLM evidence verifier.</x:v>
      </x:c>
      <x:c r="K51" s="10" t="str">
        <x:v>Evidence Verification Agent</x:v>
      </x:c>
      <x:c r="L51" s="10" t="str">
        <x:v>Certification/partner sources</x:v>
      </x:c>
      <x:c r="M51" s="10" t="str">
        <x:v>Claim, issuer URL, verification result</x:v>
      </x:c>
      <x:c r="N51" s="10" t="str">
        <x:v>Medium</x:v>
      </x:c>
      <x:c r="O51" s="10" t="str">
        <x:v>Derived from uploaded audit</x:v>
      </x:c>
    </x:row>
    <x:row r="52" ht="48" customHeight="1">
      <x:c r="A52" s="10" t="str">
        <x:v>OFF-07</x:v>
      </x:c>
      <x:c r="B52" s="10" t="str">
        <x:v>Off-Page / Authority</x:v>
      </x:c>
      <x:c r="C52" s="10" t="str">
        <x:v>G2, Clutch, Gartner Peer Insights and TrustRadius completeness</x:v>
      </x:c>
      <x:c r="D52" s="10" t="str">
        <x:v>Web research/APIs</x:v>
      </x:c>
      <x:c r="E52" s="10" t="str">
        <x:v>Yes</x:v>
      </x:c>
      <x:c r="F52" s="10" t="str">
        <x:v>Hybrid</x:v>
      </x:c>
      <x:c r="G52" s="10" t="str">
        <x:v>Review/profile pages</x:v>
      </x:c>
      <x:c r="H52" s="10" t="str">
        <x:v>Find profiles; check claimed status signals where observable, category, company description, logo, services and recent activity.</x:v>
      </x:c>
      <x:c r="I52" s="10" t="str">
        <x:v>Completed fields / expected profile fields × 100.</x:v>
      </x:c>
      <x:c r="J52" s="10" t="str">
        <x:v>Python scraper/API adapter + LLM field interpretation.</x:v>
      </x:c>
      <x:c r="K52" s="10" t="str">
        <x:v>Reputation Profile Agent</x:v>
      </x:c>
      <x:c r="L52" s="10" t="str">
        <x:v>Platform pages/APIs</x:v>
      </x:c>
      <x:c r="M52" s="10" t="str">
        <x:v>Profile URLs and completeness matrix</x:v>
      </x:c>
      <x:c r="N52" s="10" t="str">
        <x:v>Medium</x:v>
      </x:c>
      <x:c r="O52" s="10" t="str">
        <x:v>Derived from uploaded audit</x:v>
      </x:c>
    </x:row>
    <x:row r="53" ht="48" customHeight="1">
      <x:c r="A53" s="10" t="str">
        <x:v>OFF-08</x:v>
      </x:c>
      <x:c r="B53" s="10" t="str">
        <x:v>Off-Page / Authority</x:v>
      </x:c>
      <x:c r="C53" s="10" t="str">
        <x:v>Review volume, recency and velocity versus competitors</x:v>
      </x:c>
      <x:c r="D53" s="10" t="str">
        <x:v>APIs + analytics + LLM</x:v>
      </x:c>
      <x:c r="E53" s="10" t="str">
        <x:v>Yes</x:v>
      </x:c>
      <x:c r="F53" s="10" t="str">
        <x:v>Hybrid</x:v>
      </x:c>
      <x:c r="G53" s="10" t="str">
        <x:v>Review platforms</x:v>
      </x:c>
      <x:c r="H53" s="10" t="str">
        <x:v>Collect review counts and dates for company and competitor set; calculate rolling velocity and freshness.</x:v>
      </x:c>
      <x:c r="I53" s="10" t="str">
        <x:v>Normalized composite: volume 40%, recency 30%, velocity 30%.</x:v>
      </x:c>
      <x:c r="J53" s="10" t="str">
        <x:v>Python analytics + LLM competitor/entity resolution.</x:v>
      </x:c>
      <x:c r="K53" s="10" t="str">
        <x:v>Reputation Benchmark Agent</x:v>
      </x:c>
      <x:c r="L53" s="10" t="str">
        <x:v>Review APIs/pages</x:v>
      </x:c>
      <x:c r="M53" s="10" t="str">
        <x:v>Company vs competitor metrics</x:v>
      </x:c>
      <x:c r="N53" s="10" t="str">
        <x:v>Medium</x:v>
      </x:c>
      <x:c r="O53" s="10" t="str">
        <x:v>Derived from uploaded audit</x:v>
      </x:c>
    </x:row>
    <x:row r="54" ht="48" customHeight="1">
      <x:c r="A54" s="10" t="str">
        <x:v>OFF-09</x:v>
      </x:c>
      <x:c r="B54" s="10" t="str">
        <x:v>Off-Page / Authority</x:v>
      </x:c>
      <x:c r="C54" s="10" t="str">
        <x:v>Category placement matching how the company positions itself</x:v>
      </x:c>
      <x:c r="D54" s="10" t="str">
        <x:v>Web research + LLM</x:v>
      </x:c>
      <x:c r="E54" s="10" t="str">
        <x:v>Yes</x:v>
      </x:c>
      <x:c r="F54" s="10" t="str">
        <x:v>AI-assisted</x:v>
      </x:c>
      <x:c r="G54" s="10" t="str">
        <x:v>Third-party profile categories/directories</x:v>
      </x:c>
      <x:c r="H54" s="10" t="str">
        <x:v>Collect categories assigned by external sources; compare with desired category taxonomy derived from website.</x:v>
      </x:c>
      <x:c r="I54" s="10" t="str">
        <x:v>Matching placements / evaluated sources × 100; LLM assesses semantic equivalence.</x:v>
      </x:c>
      <x:c r="J54" s="10" t="str">
        <x:v>Search + LLM taxonomy matcher.</x:v>
      </x:c>
      <x:c r="K54" s="10" t="str">
        <x:v>Category Positioning Agent</x:v>
      </x:c>
      <x:c r="L54" s="10" t="str">
        <x:v>External directories</x:v>
      </x:c>
      <x:c r="M54" s="10" t="str">
        <x:v>Source category, desired category, match reason</x:v>
      </x:c>
      <x:c r="N54" s="10" t="str">
        <x:v>Medium</x:v>
      </x:c>
      <x:c r="O54" s="10" t="str">
        <x:v>Derived from uploaded audit</x:v>
      </x:c>
    </x:row>
    <x:row r="55" ht="48" customHeight="1">
      <x:c r="A55" s="10" t="str">
        <x:v>OFF-10</x:v>
      </x:c>
      <x:c r="B55" s="10" t="str">
        <x:v>Off-Page / Authority</x:v>
      </x:c>
      <x:c r="C55" s="10" t="str">
        <x:v>Reddit, Stack Overflow, Quora and industry forums presence</x:v>
      </x:c>
      <x:c r="D55" s="10" t="str">
        <x:v>Web research + LLM</x:v>
      </x:c>
      <x:c r="E55" s="10" t="str">
        <x:v>Yes</x:v>
      </x:c>
      <x:c r="F55" s="10" t="str">
        <x:v>AI-assisted</x:v>
      </x:c>
      <x:c r="G55" s="10" t="str">
        <x:v>Search/web pages on community sites</x:v>
      </x:c>
      <x:c r="H55" s="10" t="str">
        <x:v>Search for brand/service mentions and assess whether mentions are substantive, recent and relevant rather than spam.</x:v>
      </x:c>
      <x:c r="I55" s="10" t="str">
        <x:v>Weighted mention score by relevance, recency and authority.</x:v>
      </x:c>
      <x:c r="J55" s="10" t="str">
        <x:v>Search + LLM mention classifier.</x:v>
      </x:c>
      <x:c r="K55" s="10" t="str">
        <x:v>Community Research Agent</x:v>
      </x:c>
      <x:c r="L55" s="10" t="str">
        <x:v>Search/web</x:v>
      </x:c>
      <x:c r="M55" s="10" t="str">
        <x:v>Mention URLs, relevance, sentiment/context</x:v>
      </x:c>
      <x:c r="N55" s="10" t="str">
        <x:v>Low</x:v>
      </x:c>
      <x:c r="O55" s="10" t="str">
        <x:v>Derived from uploaded audit</x:v>
      </x:c>
    </x:row>
    <x:row r="56" ht="48" customHeight="1">
      <x:c r="A56" s="10" t="str">
        <x:v>OFF-11</x:v>
      </x:c>
      <x:c r="B56" s="10" t="str">
        <x:v>Off-Page / Authority</x:v>
      </x:c>
      <x:c r="C56" s="10" t="str">
        <x:v>YouTube presence and authority footprint</x:v>
      </x:c>
      <x:c r="D56" s="10" t="str">
        <x:v>YouTube/search data + LLM</x:v>
      </x:c>
      <x:c r="E56" s="10" t="str">
        <x:v>Yes</x:v>
      </x:c>
      <x:c r="F56" s="10" t="str">
        <x:v>Hybrid</x:v>
      </x:c>
      <x:c r="G56" s="10" t="str">
        <x:v>YouTube search/results</x:v>
      </x:c>
      <x:c r="H56" s="10" t="str">
        <x:v>Find official and third-party videos mentioning brand/services; assess channel ownership, topic relevance, transcript/indexability and recency.</x:v>
      </x:c>
      <x:c r="I56" s="10" t="str">
        <x:v>Weighted score: official presence 30%, relevant mentions 30%, transcripts 20%, recency 20%.</x:v>
      </x:c>
      <x:c r="J56" s="10" t="str">
        <x:v>YouTube/search connector + transcript parser + LLM.</x:v>
      </x:c>
      <x:c r="K56" s="10" t="str">
        <x:v>Media Footprint Agent</x:v>
      </x:c>
      <x:c r="L56" s="10" t="str">
        <x:v>YouTube/search APIs</x:v>
      </x:c>
      <x:c r="M56" s="10" t="str">
        <x:v>Video URLs, channel, transcript status, relevance</x:v>
      </x:c>
      <x:c r="N56" s="10" t="str">
        <x:v>Low</x:v>
      </x:c>
      <x:c r="O56" s="10" t="str">
        <x:v>Derived from uploaded audit</x:v>
      </x:c>
    </x:row>
    <x:row r="57" ht="48" customHeight="1">
      <x:c r="A57" s="10" t="str">
        <x:v>OFF-12</x:v>
      </x:c>
      <x:c r="B57" s="10" t="str">
        <x:v>Off-Page / Authority</x:v>
      </x:c>
      <x:c r="C57" s="10" t="str">
        <x:v>Podcast, webinar and conference footprint indexed/transcribed</x:v>
      </x:c>
      <x:c r="D57" s="10" t="str">
        <x:v>Web research + LLM</x:v>
      </x:c>
      <x:c r="E57" s="10" t="str">
        <x:v>Yes</x:v>
      </x:c>
      <x:c r="F57" s="10" t="str">
        <x:v>AI-assisted</x:v>
      </x:c>
      <x:c r="G57" s="10" t="str">
        <x:v>Search engines, event sites, transcripts</x:v>
      </x:c>
      <x:c r="H57" s="10" t="str">
        <x:v>Search for company/expert appearances; classify event authority, relevance and whether transcript text is indexable.</x:v>
      </x:c>
      <x:c r="I57" s="10" t="str">
        <x:v>Weighted presence score by authority, relevance and transcript availability.</x:v>
      </x:c>
      <x:c r="J57" s="10" t="str">
        <x:v>Search + LLM research agent.</x:v>
      </x:c>
      <x:c r="K57" s="10" t="str">
        <x:v>Media Footprint Agent</x:v>
      </x:c>
      <x:c r="L57" s="10" t="str">
        <x:v>Search/event sites</x:v>
      </x:c>
      <x:c r="M57" s="10" t="str">
        <x:v>Event URL, transcript availability, authority</x:v>
      </x:c>
      <x:c r="N57" s="10" t="str">
        <x:v>Low</x:v>
      </x:c>
      <x:c r="O57" s="10" t="str">
        <x:v>Derived from uploaded audit</x:v>
      </x:c>
    </x:row>
    <x:row r="58" ht="48" customHeight="1">
      <x:c r="A58" s="10" t="str">
        <x:v>OFF-13</x:v>
      </x:c>
      <x:c r="B58" s="10" t="str">
        <x:v>Off-Page / Authority</x:v>
      </x:c>
      <x:c r="C58" s="10" t="str">
        <x:v>Quality and topical relevance of sites linking to the company</x:v>
      </x:c>
      <x:c r="D58" s="10" t="str">
        <x:v>Backlink API + analytics</x:v>
      </x:c>
      <x:c r="E58" s="10" t="str">
        <x:v>Yes</x:v>
      </x:c>
      <x:c r="F58" s="10" t="str">
        <x:v>Hybrid</x:v>
      </x:c>
      <x:c r="G58" s="10" t="str">
        <x:v>Backlink provider API</x:v>
      </x:c>
      <x:c r="H58" s="10" t="str">
        <x:v>Retrieve referring domains, link pages, anchor/context and domain metrics; classify topical relevance and quality.</x:v>
      </x:c>
      <x:c r="I58" s="10" t="str">
        <x:v>Weighted backlink quality score based on relevance, authority and follow/nofollow policy.</x:v>
      </x:c>
      <x:c r="J58" s="10" t="str">
        <x:v>Python API client + LLM context relevance classifier.</x:v>
      </x:c>
      <x:c r="K58" s="10" t="str">
        <x:v>Backlink Quality Agent</x:v>
      </x:c>
      <x:c r="L58" s="10" t="str">
        <x:v>Backlink provider</x:v>
      </x:c>
      <x:c r="M58" s="10" t="str">
        <x:v>Referring domain, authority, topical fit</x:v>
      </x:c>
      <x:c r="N58" s="10" t="str">
        <x:v>High</x:v>
      </x:c>
      <x:c r="O58" s="10" t="str">
        <x:v>Derived from uploaded audit</x:v>
      </x:c>
    </x:row>
    <x:row r="59" ht="48" customHeight="1">
      <x:c r="A59" s="10" t="str">
        <x:v>OFF-14</x:v>
      </x:c>
      <x:c r="B59" s="10" t="str">
        <x:v>Off-Page / Authority</x:v>
      </x:c>
      <x:c r="C59" s="10" t="str">
        <x:v>Unlinked brand mentions and earned news by market</x:v>
      </x:c>
      <x:c r="D59" s="10" t="str">
        <x:v>Web research + LLM</x:v>
      </x:c>
      <x:c r="E59" s="10" t="str">
        <x:v>Yes</x:v>
      </x:c>
      <x:c r="F59" s="10" t="str">
        <x:v>AI-assisted</x:v>
      </x:c>
      <x:c r="G59" s="10" t="str">
        <x:v>News/search/web mentions</x:v>
      </x:c>
      <x:c r="H59" s="10" t="str">
        <x:v>Search for brand mentions; determine whether mention links to site; classify earned media vs directory vs noise; bucket by market.</x:v>
      </x:c>
      <x:c r="I59" s="10" t="str">
        <x:v>Opportunity score = relevant unlinked mentions weighted by source authority and recency.</x:v>
      </x:c>
      <x:c r="J59" s="10" t="str">
        <x:v>Search + LLM mention classifier.</x:v>
      </x:c>
      <x:c r="K59" s="10" t="str">
        <x:v>Mention Discovery Agent</x:v>
      </x:c>
      <x:c r="L59" s="10" t="str">
        <x:v>Search/news</x:v>
      </x:c>
      <x:c r="M59" s="10" t="str">
        <x:v>Mention URL, market, linked/unlinked status</x:v>
      </x:c>
      <x:c r="N59" s="10" t="str">
        <x:v>Medium</x:v>
      </x:c>
      <x:c r="O59" s="10" t="str">
        <x:v>Derived from uploaded audit</x:v>
      </x:c>
    </x:row>
    <x:row r="60" ht="48" customHeight="1">
      <x:c r="A60" s="10" t="str">
        <x:v>OFF-15</x:v>
      </x:c>
      <x:c r="B60" s="10" t="str">
        <x:v>Off-Page / Authority</x:v>
      </x:c>
      <x:c r="C60" s="10" t="str">
        <x:v>Third-party sites actually cited by AI assistants for target topics</x:v>
      </x:c>
      <x:c r="D60" s="10" t="str">
        <x:v>AI assistant query agent + LLM</x:v>
      </x:c>
      <x:c r="E60" s="10" t="str">
        <x:v>Yes</x:v>
      </x:c>
      <x:c r="F60" s="10" t="str">
        <x:v>AI-agent required</x:v>
      </x:c>
      <x:c r="G60" s="10" t="str">
        <x:v>Controlled queries to target AI/search assistants</x:v>
      </x:c>
      <x:c r="H60" s="10" t="str">
        <x:v>Generate a fixed query set; collect cited domains/URLs from assistant responses where available; aggregate citation frequency by topic and market.</x:v>
      </x:c>
      <x:c r="I60" s="10" t="str">
        <x:v>Company-relevant citation sources / total high-value citation sources; or share-of-citations benchmark.</x:v>
      </x:c>
      <x:c r="J60" s="10" t="str">
        <x:v>AI query runner + response parser + source normalizer.</x:v>
      </x:c>
      <x:c r="K60" s="10" t="str">
        <x:v>AI Citation Research Agent</x:v>
      </x:c>
      <x:c r="L60" s="10" t="str">
        <x:v>Assistant/search APIs or controlled browser automation</x:v>
      </x:c>
      <x:c r="M60" s="10" t="str">
        <x:v>Query, response, citations, source domains</x:v>
      </x:c>
      <x:c r="N60" s="10" t="str">
        <x:v>High</x:v>
      </x:c>
      <x:c r="O60" s="10" t="str">
        <x:v>Derived from uploaded audit</x:v>
      </x:c>
    </x:row>
    <x:row r="61" ht="48" customHeight="1">
      <x:c r="A61" s="10" t="str">
        <x:v>OFF-16</x:v>
      </x:c>
      <x:c r="B61" s="10" t="str">
        <x:v>Off-Page / Authority</x:v>
      </x:c>
      <x:c r="C61" s="10" t="str">
        <x:v>Presence on best/top/leading service lists</x:v>
      </x:c>
      <x:c r="D61" s="10" t="str">
        <x:v>Web research + LLM</x:v>
      </x:c>
      <x:c r="E61" s="10" t="str">
        <x:v>Yes</x:v>
      </x:c>
      <x:c r="F61" s="10" t="str">
        <x:v>AI-assisted</x:v>
      </x:c>
      <x:c r="G61" s="10" t="str">
        <x:v>Search result pages and industry lists</x:v>
      </x:c>
      <x:c r="H61" s="10" t="str">
        <x:v>Run target queries such as best/top/leading [service] for [industry]; extract list pages; determine whether company is included and accurately categorized.</x:v>
      </x:c>
      <x:c r="I61" s="10" t="str">
        <x:v>Included target lists / qualifying lists × 100; weight by authority.</x:v>
      </x:c>
      <x:c r="J61" s="10" t="str">
        <x:v>Search + LLM list extraction/classification.</x:v>
      </x:c>
      <x:c r="K61" s="10" t="str">
        <x:v>List &amp; Comparison Research Agent</x:v>
      </x:c>
      <x:c r="L61" s="10" t="str">
        <x:v>Search/web</x:v>
      </x:c>
      <x:c r="M61" s="10" t="str">
        <x:v>Query, list URL, rank/position, inclusion status</x:v>
      </x:c>
      <x:c r="N61" s="10" t="str">
        <x:v>Medium</x:v>
      </x:c>
      <x:c r="O61" s="10" t="str">
        <x:v>Derived from uploaded audit</x:v>
      </x:c>
    </x:row>
    <x:row r="62" ht="48" customHeight="1">
      <x:c r="A62" s="10" t="str">
        <x:v>OFF-17</x:v>
      </x:c>
      <x:c r="B62" s="10" t="str">
        <x:v>Off-Page / Authority</x:v>
      </x:c>
      <x:c r="C62" s="10" t="str">
        <x:v>Presence on alternatives-to-competitor pages</x:v>
      </x:c>
      <x:c r="D62" s="10" t="str">
        <x:v>Web research + LLM</x:v>
      </x:c>
      <x:c r="E62" s="10" t="str">
        <x:v>Yes</x:v>
      </x:c>
      <x:c r="F62" s="10" t="str">
        <x:v>AI-assisted</x:v>
      </x:c>
      <x:c r="G62" s="10" t="str">
        <x:v>Search for alternatives pages</x:v>
      </x:c>
      <x:c r="H62" s="10" t="str">
        <x:v>Build competitor set; run alternative-intent searches; identify pages and check whether company appears as an alternative with accurate description.</x:v>
      </x:c>
      <x:c r="I62" s="10" t="str">
        <x:v>Included relevant alternatives pages / qualifying pages × 100.</x:v>
      </x:c>
      <x:c r="J62" s="10" t="str">
        <x:v>Search + LLM competitor/list classifier.</x:v>
      </x:c>
      <x:c r="K62" s="10" t="str">
        <x:v>Competitive Research Agent</x:v>
      </x:c>
      <x:c r="L62" s="10" t="str">
        <x:v>Search/web</x:v>
      </x:c>
      <x:c r="M62" s="10" t="str">
        <x:v>Competitor, alternatives URL, inclusion and description</x:v>
      </x:c>
      <x:c r="N62" s="10" t="str">
        <x:v>Medium</x:v>
      </x:c>
      <x:c r="O62" s="10" t="str">
        <x:v>Derived from uploaded audit</x:v>
      </x:c>
    </x:row>
    <x:row r="63" ht="48" customHeight="1">
      <x:c r="A63" s="10" t="str">
        <x:v>OFF-18</x:v>
      </x:c>
      <x:c r="B63" s="10" t="str">
        <x:v>Off-Page / Authority</x:v>
      </x:c>
      <x:c r="C63" s="10" t="str">
        <x:v>Analyst, directory and trade-press coverage + description accuracy</x:v>
      </x:c>
      <x:c r="D63" s="10" t="str">
        <x:v>Web research + LLM</x:v>
      </x:c>
      <x:c r="E63" s="10" t="str">
        <x:v>Yes</x:v>
      </x:c>
      <x:c r="F63" s="10" t="str">
        <x:v>AI-assisted</x:v>
      </x:c>
      <x:c r="G63" s="10" t="str">
        <x:v>Analyst sites, directories, trade press</x:v>
      </x:c>
      <x:c r="H63" s="10" t="str">
        <x:v>Collect mentions; classify source authority; compare descriptions with canonical company positioning and detect inaccurate claims.</x:v>
      </x:c>
      <x:c r="I63" s="10" t="str">
        <x:v>Coverage score + accuracy score; combine 50/50 unless configured otherwise.</x:v>
      </x:c>
      <x:c r="J63" s="10" t="str">
        <x:v>Search + LLM source/description evaluator.</x:v>
      </x:c>
      <x:c r="K63" s="10" t="str">
        <x:v>Reputation Research Agent</x:v>
      </x:c>
      <x:c r="L63" s="10" t="str">
        <x:v>Search/web</x:v>
      </x:c>
      <x:c r="M63" s="10" t="str">
        <x:v>Source, authority tier, description, accuracy verdict</x:v>
      </x:c>
      <x:c r="N63" s="10" t="str">
        <x:v>Medium</x:v>
      </x:c>
      <x:c r="O63" s="10" t="str">
        <x:v>Derived from uploaded audit</x:v>
      </x:c>
    </x:row>
  </x:sheetData>
  <x:conditionalFormatting sqref="E2:E63">
    <x:cfRule type="expression" dxfId="0" priority="1">
      <x:formula>E2="Yes"</x:formula>
    </x:cfRule>
    <x:cfRule type="expression" dxfId="1" priority="2">
      <x:formula>E2="No"</x:formula>
    </x:cfRule>
  </x:conditionalFormatting>
  <x:conditionalFormatting sqref="F2:F63">
    <x:cfRule type="expression" dxfId="2" priority="3">
      <x:formula>F2="Hybrid"</x:formula>
    </x:cfRule>
  </x:conditionalFormatting>
  <x:conditionalFormatting sqref="N2:N63">
    <x:cfRule type="expression" dxfId="3" priority="4">
      <x:formula>N2="High"</x:formula>
    </x:cfRule>
  </x:conditionalFormatting>
  <x:conditionalFormatting sqref="B2:B63">
    <x:cfRule type="expression" dxfId="4" priority="5">
      <x:formula>B2="Technical"</x:formula>
    </x:cfRule>
    <x:cfRule type="expression" dxfId="5" priority="6">
      <x:formula>B2="On-Page / Content"</x:formula>
    </x:cfRule>
    <x:cfRule type="expression" dxfId="6" priority="7">
      <x:formula>B2="Off-Page / Authority"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f331f50b51042d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42" hidden="0" customWidth="1"/>
    <x:col min="4" max="4" width="48" hidden="0" customWidth="1"/>
    <x:col min="5" max="5" width="30" hidden="0" customWidth="1"/>
    <x:col min="6" max="6" width="44" hidden="0" customWidth="1"/>
    <x:col min="7" max="7" width="52" hidden="0" customWidth="1"/>
    <x:col min="8" max="8" width="48" hidden="0" customWidth="1"/>
    <x:col min="9" max="9" width="48" hidden="0" customWidth="1"/>
    <x:col min="10" max="10" width="52" hidden="0" customWidth="1"/>
    <x:col min="11" max="11" width="28" hidden="0" customWidth="1"/>
    <x:col min="12" max="12" width="12" hidden="0" customWidth="1"/>
  </x:cols>
  <x:sheetData>
    <x:row r="1" ht="34" customHeight="1">
      <x:c r="A1" s="16" t="str">
        <x:v>Parameter ID</x:v>
      </x:c>
      <x:c r="B1" s="16" t="str">
        <x:v>Section</x:v>
      </x:c>
      <x:c r="C1" s="16" t="str">
        <x:v>Parameter</x:v>
      </x:c>
      <x:c r="D1" s="16" t="str">
        <x:v>Why AI Is Needed</x:v>
      </x:c>
      <x:c r="E1" s="16" t="str">
        <x:v>AI Agent Role</x:v>
      </x:c>
      <x:c r="F1" s="16" t="str">
        <x:v>AI Input</x:v>
      </x:c>
      <x:c r="G1" s="16" t="str">
        <x:v>Expected AI Output</x:v>
      </x:c>
      <x:c r="H1" s="16" t="str">
        <x:v>Deterministic Work Before AI</x:v>
      </x:c>
      <x:c r="I1" s="16" t="str">
        <x:v>Deterministic Work After AI</x:v>
      </x:c>
      <x:c r="J1" s="16" t="str">
        <x:v>Guardrail / Validation</x:v>
      </x:c>
      <x:c r="K1" s="16" t="str">
        <x:v>External Dependency</x:v>
      </x:c>
      <x:c r="L1" s="16" t="str">
        <x:v>Priority</x:v>
      </x:c>
    </x:row>
    <x:row r="2" ht="50" customHeight="1">
      <x:c r="A2" s="10" t="str">
        <x:v>TECH-04</x:v>
      </x:c>
      <x:c r="B2" s="10" t="str">
        <x:v>Technical</x:v>
      </x:c>
      <x:c r="C2" s="10" t="str">
        <x:v>No login, pop-up or cookie wall covering main content</x:v>
      </x:c>
      <x:c r="D2" s="10" t="str">
        <x:v>AI is optional where deterministic parsing cannot reliably judge semantic quality.</x:v>
      </x:c>
      <x:c r="E2" s="10" t="str">
        <x:v>Vision/LLM can validate ambiguous overlays.</x:v>
      </x:c>
      <x:c r="F2" s="10" t="str">
        <x:v>Evidence extracted from: Homepage and representative service pages</x:v>
      </x:c>
      <x:c r="G2" s="10" t="str">
        <x:v>Structured verdict, score, confidence, rationale and cited evidence for: No login, pop-up or cookie wall covering main content</x:v>
      </x:c>
      <x:c r="H2" s="10" t="str">
        <x:v>Fetch/parse source data, normalize text/URLs, capture raw evidence.</x:v>
      </x:c>
      <x:c r="I2" s="10" t="str">
        <x:v>Store AI verdict; combine with deterministic checks; apply score thresholds and audit trail.</x:v>
      </x:c>
      <x:c r="J2" s="10" t="str">
        <x:v>Require strict JSON schema; reject low-confidence outputs; never allow AI to override hard technical facts.</x:v>
      </x:c>
      <x:c r="K2" s="10" t="str">
        <x:v>None</x:v>
      </x:c>
      <x:c r="L2" s="10" t="str">
        <x:v>Medium</x:v>
      </x:c>
    </x:row>
    <x:row r="3" ht="50" customHeight="1">
      <x:c r="A3" s="10" t="str">
        <x:v>TECH-11</x:v>
      </x:c>
      <x:c r="B3" s="10" t="str">
        <x:v>Technical</x:v>
      </x:c>
      <x:c r="C3" s="10" t="str">
        <x:v>Heading frequency that lets an assistant lift a clean passage</x:v>
      </x:c>
      <x:c r="D3" s="10" t="str">
        <x:v>AI is optional where deterministic parsing cannot reliably judge semantic quality.</x:v>
      </x:c>
      <x:c r="E3" s="10" t="str">
        <x:v>Content structure evaluator</x:v>
      </x:c>
      <x:c r="F3" s="10" t="str">
        <x:v>Evidence extracted from: Page headings + content blocks</x:v>
      </x:c>
      <x:c r="G3" s="10" t="str">
        <x:v>Structured verdict, score, confidence, rationale and cited evidence for: Heading frequency that lets an assistant lift a clean passage</x:v>
      </x:c>
      <x:c r="H3" s="10" t="str">
        <x:v>Fetch/parse source data, normalize text/URLs, capture raw evidence.</x:v>
      </x:c>
      <x:c r="I3" s="10" t="str">
        <x:v>Store AI verdict; combine with deterministic checks; apply score thresholds and audit trail.</x:v>
      </x:c>
      <x:c r="J3" s="10" t="str">
        <x:v>Require strict JSON schema; reject low-confidence outputs; never allow AI to override hard technical facts.</x:v>
      </x:c>
      <x:c r="K3" s="10" t="str">
        <x:v>None</x:v>
      </x:c>
      <x:c r="L3" s="10" t="str">
        <x:v>Medium</x:v>
      </x:c>
    </x:row>
    <x:row r="4" ht="50" customHeight="1">
      <x:c r="A4" s="10" t="str">
        <x:v>TECH-14</x:v>
      </x:c>
      <x:c r="B4" s="10" t="str">
        <x:v>Technical</x:v>
      </x:c>
      <x:c r="C4" s="10" t="str">
        <x:v>Image alt text and video transcripts</x:v>
      </x:c>
      <x:c r="D4" s="10" t="str">
        <x:v>AI is optional where deterministic parsing cannot reliably judge semantic quality.</x:v>
      </x:c>
      <x:c r="E4" s="10" t="str">
        <x:v>AI can assess whether alt text is descriptive rather than generic.</x:v>
      </x:c>
      <x:c r="F4" s="10" t="str">
        <x:v>Evidence extracted from: &lt;img&gt; tags, video/iframe/transcript markup</x:v>
      </x:c>
      <x:c r="G4" s="10" t="str">
        <x:v>Structured verdict, score, confidence, rationale and cited evidence for: Image alt text and video transcripts</x:v>
      </x:c>
      <x:c r="H4" s="10" t="str">
        <x:v>Fetch/parse source data, normalize text/URLs, capture raw evidence.</x:v>
      </x:c>
      <x:c r="I4" s="10" t="str">
        <x:v>Store AI verdict; combine with deterministic checks; apply score thresholds and audit trail.</x:v>
      </x:c>
      <x:c r="J4" s="10" t="str">
        <x:v>Require strict JSON schema; reject low-confidence outputs; never allow AI to override hard technical facts.</x:v>
      </x:c>
      <x:c r="K4" s="10" t="str">
        <x:v>None</x:v>
      </x:c>
      <x:c r="L4" s="10" t="str">
        <x:v>Medium</x:v>
      </x:c>
    </x:row>
    <x:row r="5" ht="50" customHeight="1">
      <x:c r="A5" s="10" t="str">
        <x:v>TECH-18</x:v>
      </x:c>
      <x:c r="B5" s="10" t="str">
        <x:v>Technical</x:v>
      </x:c>
      <x:c r="C5" s="10" t="str">
        <x:v>Author profiles marked up with real credentials</x:v>
      </x:c>
      <x:c r="D5" s="10" t="str">
        <x:v>AI is optional where deterministic parsing cannot reliably judge semantic quality.</x:v>
      </x:c>
      <x:c r="E5" s="10" t="str">
        <x:v>AI can judge whether credentials substantively support expertise.</x:v>
      </x:c>
      <x:c r="F5" s="10" t="str">
        <x:v>Evidence extracted from: Byline, author links, Person schema</x:v>
      </x:c>
      <x:c r="G5" s="10" t="str">
        <x:v>Structured verdict, score, confidence, rationale and cited evidence for: Author profiles marked up with real credentials</x:v>
      </x:c>
      <x:c r="H5" s="10" t="str">
        <x:v>Fetch/parse source data, normalize text/URLs, capture raw evidence.</x:v>
      </x:c>
      <x:c r="I5" s="10" t="str">
        <x:v>Store AI verdict; combine with deterministic checks; apply score thresholds and audit trail.</x:v>
      </x:c>
      <x:c r="J5" s="10" t="str">
        <x:v>Require strict JSON schema; reject low-confidence outputs; never allow AI to override hard technical facts.</x:v>
      </x:c>
      <x:c r="K5" s="10" t="str">
        <x:v>None</x:v>
      </x:c>
      <x:c r="L5" s="10" t="str">
        <x:v>Medium</x:v>
      </x:c>
    </x:row>
    <x:row r="6" ht="50" customHeight="1">
      <x:c r="A6" s="10" t="str">
        <x:v>ON-01</x:v>
      </x:c>
      <x:c r="B6" s="10" t="str">
        <x:v>On-Page / Content</x:v>
      </x:c>
      <x:c r="C6" s="10" t="str">
        <x:v>Headings phrased as buyer questions</x:v>
      </x:c>
      <x:c r="D6" s="10" t="str">
        <x:v>Requires semantic interpretation of intent, answer quality, definitions, claims, freshness, journey coverage, or page relationships.</x:v>
      </x:c>
      <x:c r="E6" s="10" t="str">
        <x:v>Intent &amp; Question Evaluator</x:v>
      </x:c>
      <x:c r="F6" s="10" t="str">
        <x:v>Evidence extracted from: H1-H3 headings on service/solution pages</x:v>
      </x:c>
      <x:c r="G6" s="10" t="str">
        <x:v>Structured verdict, score, confidence, rationale and cited evidence for: Headings phrased as buyer questions</x:v>
      </x:c>
      <x:c r="H6" s="10" t="str">
        <x:v>Fetch/parse source data, normalize text/URLs, capture raw evidence.</x:v>
      </x:c>
      <x:c r="I6" s="10" t="str">
        <x:v>Store AI verdict; combine with deterministic checks; apply score thresholds and audit trail.</x:v>
      </x:c>
      <x:c r="J6" s="10" t="str">
        <x:v>Require strict JSON schema; reject low-confidence outputs; never allow AI to override hard technical facts.</x:v>
      </x:c>
      <x:c r="K6" s="10" t="str">
        <x:v>None</x:v>
      </x:c>
      <x:c r="L6" s="10" t="str">
        <x:v>High</x:v>
      </x:c>
    </x:row>
    <x:row r="7" ht="50" customHeight="1">
      <x:c r="A7" s="10" t="str">
        <x:v>ON-02</x:v>
      </x:c>
      <x:c r="B7" s="10" t="str">
        <x:v>On-Page / Content</x:v>
      </x:c>
      <x:c r="C7" s="10" t="str">
        <x:v>Self-contained 40–60 word answer under each question</x:v>
      </x:c>
      <x:c r="D7" s="10" t="str">
        <x:v>Requires semantic interpretation of intent, answer quality, definitions, claims, freshness, journey coverage, or page relationships.</x:v>
      </x:c>
      <x:c r="E7" s="10" t="str">
        <x:v>Answer Quality Agent</x:v>
      </x:c>
      <x:c r="F7" s="10" t="str">
        <x:v>Evidence extracted from: Question heading + following content block</x:v>
      </x:c>
      <x:c r="G7" s="10" t="str">
        <x:v>Structured verdict, score, confidence, rationale and cited evidence for: Self-contained 40–60 word answer under each question</x:v>
      </x:c>
      <x:c r="H7" s="10" t="str">
        <x:v>Fetch/parse source data, normalize text/URLs, capture raw evidence.</x:v>
      </x:c>
      <x:c r="I7" s="10" t="str">
        <x:v>Store AI verdict; combine with deterministic checks; apply score thresholds and audit trail.</x:v>
      </x:c>
      <x:c r="J7" s="10" t="str">
        <x:v>Require strict JSON schema; reject low-confidence outputs; never allow AI to override hard technical facts.</x:v>
      </x:c>
      <x:c r="K7" s="10" t="str">
        <x:v>None</x:v>
      </x:c>
      <x:c r="L7" s="10" t="str">
        <x:v>High</x:v>
      </x:c>
    </x:row>
    <x:row r="8" ht="50" customHeight="1">
      <x:c r="A8" s="10" t="str">
        <x:v>ON-03</x:v>
      </x:c>
      <x:c r="B8" s="10" t="str">
        <x:v>On-Page / Content</x:v>
      </x:c>
      <x:c r="C8" s="10" t="str">
        <x:v>Clear definition sentences for every core concept</x:v>
      </x:c>
      <x:c r="D8" s="10" t="str">
        <x:v>Requires semantic interpretation of intent, answer quality, definitions, claims, freshness, journey coverage, or page relationships.</x:v>
      </x:c>
      <x:c r="E8" s="10" t="str">
        <x:v>Definition &amp; Clarity Agent</x:v>
      </x:c>
      <x:c r="F8" s="10" t="str">
        <x:v>Evidence extracted from: Page text + target concepts</x:v>
      </x:c>
      <x:c r="G8" s="10" t="str">
        <x:v>Structured verdict, score, confidence, rationale and cited evidence for: Clear definition sentences for every core concept</x:v>
      </x:c>
      <x:c r="H8" s="10" t="str">
        <x:v>Fetch/parse source data, normalize text/URLs, capture raw evidence.</x:v>
      </x:c>
      <x:c r="I8" s="10" t="str">
        <x:v>Store AI verdict; combine with deterministic checks; apply score thresholds and audit trail.</x:v>
      </x:c>
      <x:c r="J8" s="10" t="str">
        <x:v>Require strict JSON schema; reject low-confidence outputs; never allow AI to override hard technical facts.</x:v>
      </x:c>
      <x:c r="K8" s="10" t="str">
        <x:v>None</x:v>
      </x:c>
      <x:c r="L8" s="10" t="str">
        <x:v>High</x:v>
      </x:c>
    </x:row>
    <x:row r="9" ht="50" customHeight="1">
      <x:c r="A9" s="10" t="str">
        <x:v>ON-04</x:v>
      </x:c>
      <x:c r="B9" s="10" t="str">
        <x:v>On-Page / Content</x:v>
      </x:c>
      <x:c r="C9" s="10" t="str">
        <x:v>Conclusion first, supporting detail after</x:v>
      </x:c>
      <x:c r="D9" s="10" t="str">
        <x:v>Requires semantic interpretation of intent, answer quality, definitions, claims, freshness, journey coverage, or page relationships.</x:v>
      </x:c>
      <x:c r="E9" s="10" t="str">
        <x:v>Content Structure Agent</x:v>
      </x:c>
      <x:c r="F9" s="10" t="str">
        <x:v>Evidence extracted from: First 1–2 paragraphs after H1</x:v>
      </x:c>
      <x:c r="G9" s="10" t="str">
        <x:v>Structured verdict, score, confidence, rationale and cited evidence for: Conclusion first, supporting detail after</x:v>
      </x:c>
      <x:c r="H9" s="10" t="str">
        <x:v>Fetch/parse source data, normalize text/URLs, capture raw evidence.</x:v>
      </x:c>
      <x:c r="I9" s="10" t="str">
        <x:v>Store AI verdict; combine with deterministic checks; apply score thresholds and audit trail.</x:v>
      </x:c>
      <x:c r="J9" s="10" t="str">
        <x:v>Require strict JSON schema; reject low-confidence outputs; never allow AI to override hard technical facts.</x:v>
      </x:c>
      <x:c r="K9" s="10" t="str">
        <x:v>None</x:v>
      </x:c>
      <x:c r="L9" s="10" t="str">
        <x:v>Medium</x:v>
      </x:c>
    </x:row>
    <x:row r="10" ht="50" customHeight="1">
      <x:c r="A10" s="10" t="str">
        <x:v>ON-06</x:v>
      </x:c>
      <x:c r="B10" s="10" t="str">
        <x:v>On-Page / Content</x:v>
      </x:c>
      <x:c r="C10" s="10" t="str">
        <x:v>FAQ schema validity and answer consistency</x:v>
      </x:c>
      <x:c r="D10" s="10" t="str">
        <x:v>Requires semantic interpretation of intent, answer quality, definitions, claims, freshness, journey coverage, or page relationships.</x:v>
      </x:c>
      <x:c r="E10" s="10" t="str">
        <x:v>FAQ Consistency Agent</x:v>
      </x:c>
      <x:c r="F10" s="10" t="str">
        <x:v>Evidence extracted from: FAQPage JSON-LD + visible FAQ content</x:v>
      </x:c>
      <x:c r="G10" s="10" t="str">
        <x:v>Structured verdict, score, confidence, rationale and cited evidence for: FAQ schema validity and answer consistency</x:v>
      </x:c>
      <x:c r="H10" s="10" t="str">
        <x:v>Fetch/parse source data, normalize text/URLs, capture raw evidence.</x:v>
      </x:c>
      <x:c r="I10" s="10" t="str">
        <x:v>Store AI verdict; combine with deterministic checks; apply score thresholds and audit trail.</x:v>
      </x:c>
      <x:c r="J10" s="10" t="str">
        <x:v>Require strict JSON schema; reject low-confidence outputs; never allow AI to override hard technical facts.</x:v>
      </x:c>
      <x:c r="K10" s="10" t="str">
        <x:v>None</x:v>
      </x:c>
      <x:c r="L10" s="10" t="str">
        <x:v>Medium</x:v>
      </x:c>
    </x:row>
    <x:row r="11" ht="50" customHeight="1">
      <x:c r="A11" s="10" t="str">
        <x:v>ON-07</x:v>
      </x:c>
      <x:c r="B11" s="10" t="str">
        <x:v>On-Page / Content</x:v>
      </x:c>
      <x:c r="C11" s="10" t="str">
        <x:v>Comparison and specification tables where buyers evaluate</x:v>
      </x:c>
      <x:c r="D11" s="10" t="str">
        <x:v>Requires semantic interpretation of intent, answer quality, definitions, claims, freshness, journey coverage, or page relationships.</x:v>
      </x:c>
      <x:c r="E11" s="10" t="str">
        <x:v>Comparison Content Agent</x:v>
      </x:c>
      <x:c r="F11" s="10" t="str">
        <x:v>Evidence extracted from: Comparison/solution pages</x:v>
      </x:c>
      <x:c r="G11" s="10" t="str">
        <x:v>Structured verdict, score, confidence, rationale and cited evidence for: Comparison and specification tables where buyers evaluate</x:v>
      </x:c>
      <x:c r="H11" s="10" t="str">
        <x:v>Fetch/parse source data, normalize text/URLs, capture raw evidence.</x:v>
      </x:c>
      <x:c r="I11" s="10" t="str">
        <x:v>Store AI verdict; combine with deterministic checks; apply score thresholds and audit trail.</x:v>
      </x:c>
      <x:c r="J11" s="10" t="str">
        <x:v>Require strict JSON schema; reject low-confidence outputs; never allow AI to override hard technical facts.</x:v>
      </x:c>
      <x:c r="K11" s="10" t="str">
        <x:v>None</x:v>
      </x:c>
      <x:c r="L11" s="10" t="str">
        <x:v>Medium</x:v>
      </x:c>
    </x:row>
    <x:row r="12" ht="50" customHeight="1">
      <x:c r="A12" s="10" t="str">
        <x:v>ON-08</x:v>
      </x:c>
      <x:c r="B12" s="10" t="str">
        <x:v>On-Page / Content</x:v>
      </x:c>
      <x:c r="C12" s="10" t="str">
        <x:v>Lists and numbered steps that support answer extraction</x:v>
      </x:c>
      <x:c r="D12" s="10" t="str">
        <x:v>Requires semantic interpretation of intent, answer quality, definitions, claims, freshness, journey coverage, or page relationships.</x:v>
      </x:c>
      <x:c r="E12" s="10" t="str">
        <x:v>AI can classify usefulness of list content.</x:v>
      </x:c>
      <x:c r="F12" s="10" t="str">
        <x:v>Evidence extracted from: Service/process pages</x:v>
      </x:c>
      <x:c r="G12" s="10" t="str">
        <x:v>Structured verdict, score, confidence, rationale and cited evidence for: Lists and numbered steps that support answer extraction</x:v>
      </x:c>
      <x:c r="H12" s="10" t="str">
        <x:v>Fetch/parse source data, normalize text/URLs, capture raw evidence.</x:v>
      </x:c>
      <x:c r="I12" s="10" t="str">
        <x:v>Store AI verdict; combine with deterministic checks; apply score thresholds and audit trail.</x:v>
      </x:c>
      <x:c r="J12" s="10" t="str">
        <x:v>Require strict JSON schema; reject low-confidence outputs; never allow AI to override hard technical facts.</x:v>
      </x:c>
      <x:c r="K12" s="10" t="str">
        <x:v>None</x:v>
      </x:c>
      <x:c r="L12" s="10" t="str">
        <x:v>Low</x:v>
      </x:c>
    </x:row>
    <x:row r="13" ht="50" customHeight="1">
      <x:c r="A13" s="10" t="str">
        <x:v>ON-09</x:v>
      </x:c>
      <x:c r="B13" s="10" t="str">
        <x:v>On-Page / Content</x:v>
      </x:c>
      <x:c r="C13" s="10" t="str">
        <x:v>Natural, conversational phrasing rather than keyword strings</x:v>
      </x:c>
      <x:c r="D13" s="10" t="str">
        <x:v>Requires semantic interpretation of intent, answer quality, definitions, claims, freshness, journey coverage, or page relationships.</x:v>
      </x:c>
      <x:c r="E13" s="10" t="str">
        <x:v>Content Quality Agent</x:v>
      </x:c>
      <x:c r="F13" s="10" t="str">
        <x:v>Evidence extracted from: Page copy</x:v>
      </x:c>
      <x:c r="G13" s="10" t="str">
        <x:v>Structured verdict, score, confidence, rationale and cited evidence for: Natural, conversational phrasing rather than keyword strings</x:v>
      </x:c>
      <x:c r="H13" s="10" t="str">
        <x:v>Fetch/parse source data, normalize text/URLs, capture raw evidence.</x:v>
      </x:c>
      <x:c r="I13" s="10" t="str">
        <x:v>Store AI verdict; combine with deterministic checks; apply score thresholds and audit trail.</x:v>
      </x:c>
      <x:c r="J13" s="10" t="str">
        <x:v>Require strict JSON schema; reject low-confidence outputs; never allow AI to override hard technical facts.</x:v>
      </x:c>
      <x:c r="K13" s="10" t="str">
        <x:v>None</x:v>
      </x:c>
      <x:c r="L13" s="10" t="str">
        <x:v>Medium</x:v>
      </x:c>
    </x:row>
    <x:row r="14" ht="50" customHeight="1">
      <x:c r="A14" s="10" t="str">
        <x:v>ON-11</x:v>
      </x:c>
      <x:c r="B14" s="10" t="str">
        <x:v>On-Page / Content</x:v>
      </x:c>
      <x:c r="C14" s="10" t="str">
        <x:v>Content depth and completeness</x:v>
      </x:c>
      <x:c r="D14" s="10" t="str">
        <x:v>Requires semantic interpretation of intent, answer quality, definitions, claims, freshness, journey coverage, or page relationships.</x:v>
      </x:c>
      <x:c r="E14" s="10" t="str">
        <x:v>Topic Coverage Agent</x:v>
      </x:c>
      <x:c r="F14" s="10" t="str">
        <x:v>Evidence extracted from: Full page content + page type</x:v>
      </x:c>
      <x:c r="G14" s="10" t="str">
        <x:v>Structured verdict, score, confidence, rationale and cited evidence for: Content depth and completeness</x:v>
      </x:c>
      <x:c r="H14" s="10" t="str">
        <x:v>Fetch/parse source data, normalize text/URLs, capture raw evidence.</x:v>
      </x:c>
      <x:c r="I14" s="10" t="str">
        <x:v>Store AI verdict; combine with deterministic checks; apply score thresholds and audit trail.</x:v>
      </x:c>
      <x:c r="J14" s="10" t="str">
        <x:v>Require strict JSON schema; reject low-confidence outputs; never allow AI to override hard technical facts.</x:v>
      </x:c>
      <x:c r="K14" s="10" t="str">
        <x:v>None</x:v>
      </x:c>
      <x:c r="L14" s="10" t="str">
        <x:v>High</x:v>
      </x:c>
    </x:row>
    <x:row r="15" ht="50" customHeight="1">
      <x:c r="A15" s="10" t="str">
        <x:v>ON-12</x:v>
      </x:c>
      <x:c r="B15" s="10" t="str">
        <x:v>On-Page / Content</x:v>
      </x:c>
      <x:c r="C15" s="10" t="str">
        <x:v>Original, citable data point on major pages</x:v>
      </x:c>
      <x:c r="D15" s="10" t="str">
        <x:v>Requires semantic interpretation of intent, answer quality, definitions, claims, freshness, journey coverage, or page relationships.</x:v>
      </x:c>
      <x:c r="E15" s="10" t="str">
        <x:v>Evidence &amp; Claims Agent</x:v>
      </x:c>
      <x:c r="F15" s="10" t="str">
        <x:v>Evidence extracted from: Numbers/statistics/tables in page text</x:v>
      </x:c>
      <x:c r="G15" s="10" t="str">
        <x:v>Structured verdict, score, confidence, rationale and cited evidence for: Original, citable data point on major pages</x:v>
      </x:c>
      <x:c r="H15" s="10" t="str">
        <x:v>Fetch/parse source data, normalize text/URLs, capture raw evidence.</x:v>
      </x:c>
      <x:c r="I15" s="10" t="str">
        <x:v>Store AI verdict; combine with deterministic checks; apply score thresholds and audit trail.</x:v>
      </x:c>
      <x:c r="J15" s="10" t="str">
        <x:v>Require strict JSON schema; reject low-confidence outputs; never allow AI to override hard technical facts.</x:v>
      </x:c>
      <x:c r="K15" s="10" t="str">
        <x:v>None</x:v>
      </x:c>
      <x:c r="L15" s="10" t="str">
        <x:v>Medium</x:v>
      </x:c>
    </x:row>
    <x:row r="16" ht="50" customHeight="1">
      <x:c r="A16" s="10" t="str">
        <x:v>ON-13</x:v>
      </x:c>
      <x:c r="B16" s="10" t="str">
        <x:v>On-Page / Content</x:v>
      </x:c>
      <x:c r="C16" s="10" t="str">
        <x:v>Named author with role, credentials and real profile</x:v>
      </x:c>
      <x:c r="D16" s="10" t="str">
        <x:v>Requires semantic interpretation of intent, answer quality, definitions, claims, freshness, journey coverage, or page relationships.</x:v>
      </x:c>
      <x:c r="E16" s="10" t="str">
        <x:v>None</x:v>
      </x:c>
      <x:c r="F16" s="10" t="str">
        <x:v>Evidence extracted from: Byline + Person schema + author page</x:v>
      </x:c>
      <x:c r="G16" s="10" t="str">
        <x:v>Structured verdict, score, confidence, rationale and cited evidence for: Named author with role, credentials and real profile</x:v>
      </x:c>
      <x:c r="H16" s="10" t="str">
        <x:v>Fetch/parse source data, normalize text/URLs, capture raw evidence.</x:v>
      </x:c>
      <x:c r="I16" s="10" t="str">
        <x:v>Store AI verdict; combine with deterministic checks; apply score thresholds and audit trail.</x:v>
      </x:c>
      <x:c r="J16" s="10" t="str">
        <x:v>Require strict JSON schema; reject low-confidence outputs; never allow AI to override hard technical facts.</x:v>
      </x:c>
      <x:c r="K16" s="10" t="str">
        <x:v>None</x:v>
      </x:c>
      <x:c r="L16" s="10" t="str">
        <x:v>Medium</x:v>
      </x:c>
    </x:row>
    <x:row r="17" ht="50" customHeight="1">
      <x:c r="A17" s="10" t="str">
        <x:v>ON-14</x:v>
      </x:c>
      <x:c r="B17" s="10" t="str">
        <x:v>On-Page / Content</x:v>
      </x:c>
      <x:c r="C17" s="10" t="str">
        <x:v>Named clients, quantified outcomes, deployment detail</x:v>
      </x:c>
      <x:c r="D17" s="10" t="str">
        <x:v>Requires semantic interpretation of intent, answer quality, definitions, claims, freshness, journey coverage, or page relationships.</x:v>
      </x:c>
      <x:c r="E17" s="10" t="str">
        <x:v>Proof &amp; Case Study Agent</x:v>
      </x:c>
      <x:c r="F17" s="10" t="str">
        <x:v>Evidence extracted from: Case studies/service pages</x:v>
      </x:c>
      <x:c r="G17" s="10" t="str">
        <x:v>Structured verdict, score, confidence, rationale and cited evidence for: Named clients, quantified outcomes, deployment detail</x:v>
      </x:c>
      <x:c r="H17" s="10" t="str">
        <x:v>Fetch/parse source data, normalize text/URLs, capture raw evidence.</x:v>
      </x:c>
      <x:c r="I17" s="10" t="str">
        <x:v>Store AI verdict; combine with deterministic checks; apply score thresholds and audit trail.</x:v>
      </x:c>
      <x:c r="J17" s="10" t="str">
        <x:v>Require strict JSON schema; reject low-confidence outputs; never allow AI to override hard technical facts.</x:v>
      </x:c>
      <x:c r="K17" s="10" t="str">
        <x:v>None</x:v>
      </x:c>
      <x:c r="L17" s="10" t="str">
        <x:v>Medium</x:v>
      </x:c>
    </x:row>
    <x:row r="18" ht="50" customHeight="1">
      <x:c r="A18" s="10" t="str">
        <x:v>ON-15</x:v>
      </x:c>
      <x:c r="B18" s="10" t="str">
        <x:v>On-Page / Content</x:v>
      </x:c>
      <x:c r="C18" s="10" t="str">
        <x:v>Claims sourced and dated to a primary source</x:v>
      </x:c>
      <x:c r="D18" s="10" t="str">
        <x:v>Requires semantic interpretation of intent, answer quality, definitions, claims, freshness, journey coverage, or page relationships.</x:v>
      </x:c>
      <x:c r="E18" s="10" t="str">
        <x:v>Evidence &amp; Claims Agent</x:v>
      </x:c>
      <x:c r="F18" s="10" t="str">
        <x:v>Evidence extracted from: External links/citations in page copy</x:v>
      </x:c>
      <x:c r="G18" s="10" t="str">
        <x:v>Structured verdict, score, confidence, rationale and cited evidence for: Claims sourced and dated to a primary source</x:v>
      </x:c>
      <x:c r="H18" s="10" t="str">
        <x:v>Fetch/parse source data, normalize text/URLs, capture raw evidence.</x:v>
      </x:c>
      <x:c r="I18" s="10" t="str">
        <x:v>Store AI verdict; combine with deterministic checks; apply score thresholds and audit trail.</x:v>
      </x:c>
      <x:c r="J18" s="10" t="str">
        <x:v>Require strict JSON schema; reject low-confidence outputs; never allow AI to override hard technical facts.</x:v>
      </x:c>
      <x:c r="K18" s="10" t="str">
        <x:v>External source pages</x:v>
      </x:c>
      <x:c r="L18" s="10" t="str">
        <x:v>High</x:v>
      </x:c>
    </x:row>
    <x:row r="19" ht="50" customHeight="1">
      <x:c r="A19" s="10" t="str">
        <x:v>ON-16</x:v>
      </x:c>
      <x:c r="B19" s="10" t="str">
        <x:v>On-Page / Content</x:v>
      </x:c>
      <x:c r="C19" s="10" t="str">
        <x:v>Reviewer or technical approver named where it matters</x:v>
      </x:c>
      <x:c r="D19" s="10" t="str">
        <x:v>Requires semantic interpretation of intent, answer quality, definitions, claims, freshness, journey coverage, or page relationships.</x:v>
      </x:c>
      <x:c r="E19" s="10" t="str">
        <x:v>Expert Review Agent</x:v>
      </x:c>
      <x:c r="F19" s="10" t="str">
        <x:v>Evidence extracted from: Technical/service content pages</x:v>
      </x:c>
      <x:c r="G19" s="10" t="str">
        <x:v>Structured verdict, score, confidence, rationale and cited evidence for: Reviewer or technical approver named where it matters</x:v>
      </x:c>
      <x:c r="H19" s="10" t="str">
        <x:v>Fetch/parse source data, normalize text/URLs, capture raw evidence.</x:v>
      </x:c>
      <x:c r="I19" s="10" t="str">
        <x:v>Store AI verdict; combine with deterministic checks; apply score thresholds and audit trail.</x:v>
      </x:c>
      <x:c r="J19" s="10" t="str">
        <x:v>Require strict JSON schema; reject low-confidence outputs; never allow AI to override hard technical facts.</x:v>
      </x:c>
      <x:c r="K19" s="10" t="str">
        <x:v>None</x:v>
      </x:c>
      <x:c r="L19" s="10" t="str">
        <x:v>Medium</x:v>
      </x:c>
    </x:row>
    <x:row r="20" ht="50" customHeight="1">
      <x:c r="A20" s="10" t="str">
        <x:v>ON-17</x:v>
      </x:c>
      <x:c r="B20" s="10" t="str">
        <x:v>On-Page / Content</x:v>
      </x:c>
      <x:c r="C20" s="10" t="str">
        <x:v>Last substantive update within topic shelf life</x:v>
      </x:c>
      <x:c r="D20" s="10" t="str">
        <x:v>Requires semantic interpretation of intent, answer quality, definitions, claims, freshness, journey coverage, or page relationships.</x:v>
      </x:c>
      <x:c r="E20" s="10" t="str">
        <x:v>Content Freshness Agent</x:v>
      </x:c>
      <x:c r="F20" s="10" t="str">
        <x:v>Evidence extracted from: Date metadata + content change indicators</x:v>
      </x:c>
      <x:c r="G20" s="10" t="str">
        <x:v>Structured verdict, score, confidence, rationale and cited evidence for: Last substantive update within topic shelf life</x:v>
      </x:c>
      <x:c r="H20" s="10" t="str">
        <x:v>Fetch/parse source data, normalize text/URLs, capture raw evidence.</x:v>
      </x:c>
      <x:c r="I20" s="10" t="str">
        <x:v>Store AI verdict; combine with deterministic checks; apply score thresholds and audit trail.</x:v>
      </x:c>
      <x:c r="J20" s="10" t="str">
        <x:v>Require strict JSON schema; reject low-confidence outputs; never allow AI to override hard technical facts.</x:v>
      </x:c>
      <x:c r="K20" s="10" t="str">
        <x:v>None</x:v>
      </x:c>
      <x:c r="L20" s="10" t="str">
        <x:v>Medium</x:v>
      </x:c>
    </x:row>
    <x:row r="21" ht="50" customHeight="1">
      <x:c r="A21" s="10" t="str">
        <x:v>ON-18</x:v>
      </x:c>
      <x:c r="B21" s="10" t="str">
        <x:v>On-Page / Content</x:v>
      </x:c>
      <x:c r="C21" s="10" t="str">
        <x:v>Buying-journey coverage across discovery to decision</x:v>
      </x:c>
      <x:c r="D21" s="10" t="str">
        <x:v>Requires semantic interpretation of intent, answer quality, definitions, claims, freshness, journey coverage, or page relationships.</x:v>
      </x:c>
      <x:c r="E21" s="10" t="str">
        <x:v>Journey Mapping Agent</x:v>
      </x:c>
      <x:c r="F21" s="10" t="str">
        <x:v>Evidence extracted from: Sitemap URLs + page text</x:v>
      </x:c>
      <x:c r="G21" s="10" t="str">
        <x:v>Structured verdict, score, confidence, rationale and cited evidence for: Buying-journey coverage across discovery to decision</x:v>
      </x:c>
      <x:c r="H21" s="10" t="str">
        <x:v>Fetch/parse source data, normalize text/URLs, capture raw evidence.</x:v>
      </x:c>
      <x:c r="I21" s="10" t="str">
        <x:v>Store AI verdict; combine with deterministic checks; apply score thresholds and audit trail.</x:v>
      </x:c>
      <x:c r="J21" s="10" t="str">
        <x:v>Require strict JSON schema; reject low-confidence outputs; never allow AI to override hard technical facts.</x:v>
      </x:c>
      <x:c r="K21" s="10" t="str">
        <x:v>None</x:v>
      </x:c>
      <x:c r="L21" s="10" t="str">
        <x:v>High</x:v>
      </x:c>
    </x:row>
    <x:row r="22" ht="50" customHeight="1">
      <x:c r="A22" s="10" t="str">
        <x:v>ON-19</x:v>
      </x:c>
      <x:c r="B22" s="10" t="str">
        <x:v>On-Page / Content</x:v>
      </x:c>
      <x:c r="C22" s="10" t="str">
        <x:v>Best X for Y and X vs Y pages per industry/market</x:v>
      </x:c>
      <x:c r="D22" s="10" t="str">
        <x:v>Requires semantic interpretation of intent, answer quality, definitions, claims, freshness, journey coverage, or page relationships.</x:v>
      </x:c>
      <x:c r="E22" s="10" t="str">
        <x:v>Commercial Intent Agent</x:v>
      </x:c>
      <x:c r="F22" s="10" t="str">
        <x:v>Evidence extracted from: Sitemap + page headings/URLs</x:v>
      </x:c>
      <x:c r="G22" s="10" t="str">
        <x:v>Structured verdict, score, confidence, rationale and cited evidence for: Best X for Y and X vs Y pages per industry/market</x:v>
      </x:c>
      <x:c r="H22" s="10" t="str">
        <x:v>Fetch/parse source data, normalize text/URLs, capture raw evidence.</x:v>
      </x:c>
      <x:c r="I22" s="10" t="str">
        <x:v>Store AI verdict; combine with deterministic checks; apply score thresholds and audit trail.</x:v>
      </x:c>
      <x:c r="J22" s="10" t="str">
        <x:v>Require strict JSON schema; reject low-confidence outputs; never allow AI to override hard technical facts.</x:v>
      </x:c>
      <x:c r="K22" s="10" t="str">
        <x:v>None</x:v>
      </x:c>
      <x:c r="L22" s="10" t="str">
        <x:v>Medium</x:v>
      </x:c>
    </x:row>
    <x:row r="23" ht="50" customHeight="1">
      <x:c r="A23" s="10" t="str">
        <x:v>ON-20</x:v>
      </x:c>
      <x:c r="B23" s="10" t="str">
        <x:v>On-Page / Content</x:v>
      </x:c>
      <x:c r="C23" s="10" t="str">
        <x:v>No two pages competing for the same question (cannibalization)</x:v>
      </x:c>
      <x:c r="D23" s="10" t="str">
        <x:v>Requires semantic interpretation of intent, answer quality, definitions, claims, freshness, journey coverage, or page relationships.</x:v>
      </x:c>
      <x:c r="E23" s="10" t="str">
        <x:v>Intent Cannibalization Agent</x:v>
      </x:c>
      <x:c r="F23" s="10" t="str">
        <x:v>Evidence extracted from: All crawled page titles, headings and body embeddings</x:v>
      </x:c>
      <x:c r="G23" s="10" t="str">
        <x:v>Structured verdict, score, confidence, rationale and cited evidence for: No two pages competing for the same question (cannibalization)</x:v>
      </x:c>
      <x:c r="H23" s="10" t="str">
        <x:v>Fetch/parse source data, normalize text/URLs, capture raw evidence.</x:v>
      </x:c>
      <x:c r="I23" s="10" t="str">
        <x:v>Store AI verdict; combine with deterministic checks; apply score thresholds and audit trail.</x:v>
      </x:c>
      <x:c r="J23" s="10" t="str">
        <x:v>Require strict JSON schema; reject low-confidence outputs; never allow AI to override hard technical facts.</x:v>
      </x:c>
      <x:c r="K23" s="10" t="str">
        <x:v>None</x:v>
      </x:c>
      <x:c r="L23" s="10" t="str">
        <x:v>High</x:v>
      </x:c>
    </x:row>
    <x:row r="24" ht="50" customHeight="1">
      <x:c r="A24" s="10" t="str">
        <x:v>ON-22</x:v>
      </x:c>
      <x:c r="B24" s="10" t="str">
        <x:v>On-Page / Content</x:v>
      </x:c>
      <x:c r="C24" s="10" t="str">
        <x:v>Brand named alongside category, industry and geography</x:v>
      </x:c>
      <x:c r="D24" s="10" t="str">
        <x:v>Requires semantic interpretation of intent, answer quality, definitions, claims, freshness, journey coverage, or page relationships.</x:v>
      </x:c>
      <x:c r="E24" s="10" t="str">
        <x:v>Entity Association Agent</x:v>
      </x:c>
      <x:c r="F24" s="10" t="str">
        <x:v>Evidence extracted from: Key pages + entity mentions</x:v>
      </x:c>
      <x:c r="G24" s="10" t="str">
        <x:v>Structured verdict, score, confidence, rationale and cited evidence for: Brand named alongside category, industry and geography</x:v>
      </x:c>
      <x:c r="H24" s="10" t="str">
        <x:v>Fetch/parse source data, normalize text/URLs, capture raw evidence.</x:v>
      </x:c>
      <x:c r="I24" s="10" t="str">
        <x:v>Store AI verdict; combine with deterministic checks; apply score thresholds and audit trail.</x:v>
      </x:c>
      <x:c r="J24" s="10" t="str">
        <x:v>Require strict JSON schema; reject low-confidence outputs; never allow AI to override hard technical facts.</x:v>
      </x:c>
      <x:c r="K24" s="10" t="str">
        <x:v>None</x:v>
      </x:c>
      <x:c r="L24" s="10" t="str">
        <x:v>Medium</x:v>
      </x:c>
    </x:row>
    <x:row r="25" ht="50" customHeight="1">
      <x:c r="A25" s="10" t="str">
        <x:v>OFF-01</x:v>
      </x:c>
      <x:c r="B25" s="10" t="str">
        <x:v>Off-Page / Authority</x:v>
      </x:c>
      <x:c r="C25" s="10" t="str">
        <x:v>Wikidata entry present and accurate</x:v>
      </x:c>
      <x:c r="D25" s="10" t="str">
        <x:v>Requires entity resolution, source-quality judgement, competitor/list interpretation, or reconciliation across external sources.</x:v>
      </x:c>
      <x:c r="E25" s="10" t="str">
        <x:v>Entity Research Agent</x:v>
      </x:c>
      <x:c r="F25" s="10" t="str">
        <x:v>Evidence extracted from: Wikidata search/API using company name/domain</x:v>
      </x:c>
      <x:c r="G25" s="10" t="str">
        <x:v>Structured verdict, score, confidence, rationale and cited evidence for: Wikidata entry present and accurate</x:v>
      </x:c>
      <x:c r="H25" s="10" t="str">
        <x:v>Fetch/parse source data, normalize text/URLs, capture raw evidence.</x:v>
      </x:c>
      <x:c r="I25" s="10" t="str">
        <x:v>Store AI verdict; combine with deterministic checks; apply score thresholds and audit trail.</x:v>
      </x:c>
      <x:c r="J25" s="10" t="str">
        <x:v>Require strict JSON schema; reject low-confidence outputs; never allow AI to override hard technical facts.</x:v>
      </x:c>
      <x:c r="K25" s="10" t="str">
        <x:v>Wikidata API</x:v>
      </x:c>
      <x:c r="L25" s="10" t="str">
        <x:v>Low</x:v>
      </x:c>
    </x:row>
    <x:row r="26" ht="50" customHeight="1">
      <x:c r="A26" s="10" t="str">
        <x:v>OFF-02</x:v>
      </x:c>
      <x:c r="B26" s="10" t="str">
        <x:v>Off-Page / Authority</x:v>
      </x:c>
      <x:c r="C26" s="10" t="str">
        <x:v>Wikipedia or comparable reference source</x:v>
      </x:c>
      <x:c r="D26" s="10" t="str">
        <x:v>Requires entity resolution, source-quality judgement, competitor/list interpretation, or reconciliation across external sources.</x:v>
      </x:c>
      <x:c r="E26" s="10" t="str">
        <x:v>Entity Research Agent</x:v>
      </x:c>
      <x:c r="F26" s="10" t="str">
        <x:v>Evidence extracted from: Search engine / public reference pages</x:v>
      </x:c>
      <x:c r="G26" s="10" t="str">
        <x:v>Structured verdict, score, confidence, rationale and cited evidence for: Wikipedia or comparable reference source</x:v>
      </x:c>
      <x:c r="H26" s="10" t="str">
        <x:v>Fetch/parse source data, normalize text/URLs, capture raw evidence.</x:v>
      </x:c>
      <x:c r="I26" s="10" t="str">
        <x:v>Store AI verdict; combine with deterministic checks; apply score thresholds and audit trail.</x:v>
      </x:c>
      <x:c r="J26" s="10" t="str">
        <x:v>Require strict JSON schema; reject low-confidence outputs; never allow AI to override hard technical facts.</x:v>
      </x:c>
      <x:c r="K26" s="10" t="str">
        <x:v>Search/web data</x:v>
      </x:c>
      <x:c r="L26" s="10" t="str">
        <x:v>Low</x:v>
      </x:c>
    </x:row>
    <x:row r="27" ht="50" customHeight="1">
      <x:c r="A27" s="10" t="str">
        <x:v>OFF-03</x:v>
      </x:c>
      <x:c r="B27" s="10" t="str">
        <x:v>Off-Page / Authority</x:v>
      </x:c>
      <x:c r="C27" s="10" t="str">
        <x:v>Google Knowledge Panel presence and consistency</x:v>
      </x:c>
      <x:c r="D27" s="10" t="str">
        <x:v>Requires entity resolution, source-quality judgement, competitor/list interpretation, or reconciliation across external sources.</x:v>
      </x:c>
      <x:c r="E27" s="10" t="str">
        <x:v>Entity Research Agent</x:v>
      </x:c>
      <x:c r="F27" s="10" t="str">
        <x:v>Evidence extracted from: Search results / knowledge graph signals</x:v>
      </x:c>
      <x:c r="G27" s="10" t="str">
        <x:v>Structured verdict, score, confidence, rationale and cited evidence for: Google Knowledge Panel presence and consistency</x:v>
      </x:c>
      <x:c r="H27" s="10" t="str">
        <x:v>Fetch/parse source data, normalize text/URLs, capture raw evidence.</x:v>
      </x:c>
      <x:c r="I27" s="10" t="str">
        <x:v>Store AI verdict; combine with deterministic checks; apply score thresholds and audit trail.</x:v>
      </x:c>
      <x:c r="J27" s="10" t="str">
        <x:v>Require strict JSON schema; reject low-confidence outputs; never allow AI to override hard technical facts.</x:v>
      </x:c>
      <x:c r="K27" s="10" t="str">
        <x:v>Search/knowledge data</x:v>
      </x:c>
      <x:c r="L27" s="10" t="str">
        <x:v>Low</x:v>
      </x:c>
    </x:row>
    <x:row r="28" ht="50" customHeight="1">
      <x:c r="A28" s="10" t="str">
        <x:v>OFF-04</x:v>
      </x:c>
      <x:c r="B28" s="10" t="str">
        <x:v>Off-Page / Authority</x:v>
      </x:c>
      <x:c r="C28" s="10" t="str">
        <x:v>Company profiles complete and consistent across LinkedIn/Crunchbase/Bloomberg/ZoomInfo</x:v>
      </x:c>
      <x:c r="D28" s="10" t="str">
        <x:v>Requires entity resolution, source-quality judgement, competitor/list interpretation, or reconciliation across external sources.</x:v>
      </x:c>
      <x:c r="E28" s="10" t="str">
        <x:v>Authority Consistency Agent</x:v>
      </x:c>
      <x:c r="F28" s="10" t="str">
        <x:v>Evidence extracted from: Public company profiles or licensed APIs</x:v>
      </x:c>
      <x:c r="G28" s="10" t="str">
        <x:v>Structured verdict, score, confidence, rationale and cited evidence for: Company profiles complete and consistent across LinkedIn/Crunchbase/Bloomberg/ZoomInfo</x:v>
      </x:c>
      <x:c r="H28" s="10" t="str">
        <x:v>Fetch/parse source data, normalize text/URLs, capture raw evidence.</x:v>
      </x:c>
      <x:c r="I28" s="10" t="str">
        <x:v>Store AI verdict; combine with deterministic checks; apply score thresholds and audit trail.</x:v>
      </x:c>
      <x:c r="J28" s="10" t="str">
        <x:v>Require strict JSON schema; reject low-confidence outputs; never allow AI to override hard technical facts.</x:v>
      </x:c>
      <x:c r="K28" s="10" t="str">
        <x:v>Provider APIs / licensed data</x:v>
      </x:c>
      <x:c r="L28" s="10" t="str">
        <x:v>Medium</x:v>
      </x:c>
    </x:row>
    <x:row r="29" ht="50" customHeight="1">
      <x:c r="A29" s="10" t="str">
        <x:v>OFF-05</x:v>
      </x:c>
      <x:c r="B29" s="10" t="str">
        <x:v>Off-Page / Authority</x:v>
      </x:c>
      <x:c r="C29" s="10" t="str">
        <x:v>Company name, address and details identical across sources</x:v>
      </x:c>
      <x:c r="D29" s="10" t="str">
        <x:v>Requires entity resolution, source-quality judgement, competitor/list interpretation, or reconciliation across external sources.</x:v>
      </x:c>
      <x:c r="E29" s="10" t="str">
        <x:v>Authority Consistency Agent</x:v>
      </x:c>
      <x:c r="F29" s="10" t="str">
        <x:v>Evidence extracted from: Collected authority/review/directory records</x:v>
      </x:c>
      <x:c r="G29" s="10" t="str">
        <x:v>Structured verdict, score, confidence, rationale and cited evidence for: Company name, address and details identical across sources</x:v>
      </x:c>
      <x:c r="H29" s="10" t="str">
        <x:v>Fetch/parse source data, normalize text/URLs, capture raw evidence.</x:v>
      </x:c>
      <x:c r="I29" s="10" t="str">
        <x:v>Store AI verdict; combine with deterministic checks; apply score thresholds and audit trail.</x:v>
      </x:c>
      <x:c r="J29" s="10" t="str">
        <x:v>Require strict JSON schema; reject low-confidence outputs; never allow AI to override hard technical facts.</x:v>
      </x:c>
      <x:c r="K29" s="10" t="str">
        <x:v>External sources</x:v>
      </x:c>
      <x:c r="L29" s="10" t="str">
        <x:v>High</x:v>
      </x:c>
    </x:row>
    <x:row r="30" ht="50" customHeight="1">
      <x:c r="A30" s="10" t="str">
        <x:v>OFF-06</x:v>
      </x:c>
      <x:c r="B30" s="10" t="str">
        <x:v>Off-Page / Authority</x:v>
      </x:c>
      <x:c r="C30" s="10" t="str">
        <x:v>Certifications verifiable off-site (CMMI, ISO, partner tiers)</x:v>
      </x:c>
      <x:c r="D30" s="10" t="str">
        <x:v>Requires entity resolution, source-quality judgement, competitor/list interpretation, or reconciliation across external sources.</x:v>
      </x:c>
      <x:c r="E30" s="10" t="str">
        <x:v>Evidence Verification Agent</x:v>
      </x:c>
      <x:c r="F30" s="10" t="str">
        <x:v>Evidence extracted from: Certification bodies / partner directories</x:v>
      </x:c>
      <x:c r="G30" s="10" t="str">
        <x:v>Structured verdict, score, confidence, rationale and cited evidence for: Certifications verifiable off-site (CMMI, ISO, partner tiers)</x:v>
      </x:c>
      <x:c r="H30" s="10" t="str">
        <x:v>Fetch/parse source data, normalize text/URLs, capture raw evidence.</x:v>
      </x:c>
      <x:c r="I30" s="10" t="str">
        <x:v>Store AI verdict; combine with deterministic checks; apply score thresholds and audit trail.</x:v>
      </x:c>
      <x:c r="J30" s="10" t="str">
        <x:v>Require strict JSON schema; reject low-confidence outputs; never allow AI to override hard technical facts.</x:v>
      </x:c>
      <x:c r="K30" s="10" t="str">
        <x:v>Certification/partner sources</x:v>
      </x:c>
      <x:c r="L30" s="10" t="str">
        <x:v>Medium</x:v>
      </x:c>
    </x:row>
    <x:row r="31" ht="50" customHeight="1">
      <x:c r="A31" s="10" t="str">
        <x:v>OFF-07</x:v>
      </x:c>
      <x:c r="B31" s="10" t="str">
        <x:v>Off-Page / Authority</x:v>
      </x:c>
      <x:c r="C31" s="10" t="str">
        <x:v>G2, Clutch, Gartner Peer Insights and TrustRadius completeness</x:v>
      </x:c>
      <x:c r="D31" s="10" t="str">
        <x:v>Requires entity resolution, source-quality judgement, competitor/list interpretation, or reconciliation across external sources.</x:v>
      </x:c>
      <x:c r="E31" s="10" t="str">
        <x:v>Reputation Profile Agent</x:v>
      </x:c>
      <x:c r="F31" s="10" t="str">
        <x:v>Evidence extracted from: Review/profile pages</x:v>
      </x:c>
      <x:c r="G31" s="10" t="str">
        <x:v>Structured verdict, score, confidence, rationale and cited evidence for: G2, Clutch, Gartner Peer Insights and TrustRadius completeness</x:v>
      </x:c>
      <x:c r="H31" s="10" t="str">
        <x:v>Fetch/parse source data, normalize text/URLs, capture raw evidence.</x:v>
      </x:c>
      <x:c r="I31" s="10" t="str">
        <x:v>Store AI verdict; combine with deterministic checks; apply score thresholds and audit trail.</x:v>
      </x:c>
      <x:c r="J31" s="10" t="str">
        <x:v>Require strict JSON schema; reject low-confidence outputs; never allow AI to override hard technical facts.</x:v>
      </x:c>
      <x:c r="K31" s="10" t="str">
        <x:v>Platform pages/APIs</x:v>
      </x:c>
      <x:c r="L31" s="10" t="str">
        <x:v>Medium</x:v>
      </x:c>
    </x:row>
    <x:row r="32" ht="50" customHeight="1">
      <x:c r="A32" s="10" t="str">
        <x:v>OFF-08</x:v>
      </x:c>
      <x:c r="B32" s="10" t="str">
        <x:v>Off-Page / Authority</x:v>
      </x:c>
      <x:c r="C32" s="10" t="str">
        <x:v>Review volume, recency and velocity versus competitors</x:v>
      </x:c>
      <x:c r="D32" s="10" t="str">
        <x:v>Requires entity resolution, source-quality judgement, competitor/list interpretation, or reconciliation across external sources.</x:v>
      </x:c>
      <x:c r="E32" s="10" t="str">
        <x:v>Reputation Benchmark Agent</x:v>
      </x:c>
      <x:c r="F32" s="10" t="str">
        <x:v>Evidence extracted from: Review platforms</x:v>
      </x:c>
      <x:c r="G32" s="10" t="str">
        <x:v>Structured verdict, score, confidence, rationale and cited evidence for: Review volume, recency and velocity versus competitors</x:v>
      </x:c>
      <x:c r="H32" s="10" t="str">
        <x:v>Fetch/parse source data, normalize text/URLs, capture raw evidence.</x:v>
      </x:c>
      <x:c r="I32" s="10" t="str">
        <x:v>Store AI verdict; combine with deterministic checks; apply score thresholds and audit trail.</x:v>
      </x:c>
      <x:c r="J32" s="10" t="str">
        <x:v>Require strict JSON schema; reject low-confidence outputs; never allow AI to override hard technical facts.</x:v>
      </x:c>
      <x:c r="K32" s="10" t="str">
        <x:v>Review APIs/pages</x:v>
      </x:c>
      <x:c r="L32" s="10" t="str">
        <x:v>Medium</x:v>
      </x:c>
    </x:row>
    <x:row r="33" ht="50" customHeight="1">
      <x:c r="A33" s="10" t="str">
        <x:v>OFF-09</x:v>
      </x:c>
      <x:c r="B33" s="10" t="str">
        <x:v>Off-Page / Authority</x:v>
      </x:c>
      <x:c r="C33" s="10" t="str">
        <x:v>Category placement matching how the company positions itself</x:v>
      </x:c>
      <x:c r="D33" s="10" t="str">
        <x:v>Requires entity resolution, source-quality judgement, competitor/list interpretation, or reconciliation across external sources.</x:v>
      </x:c>
      <x:c r="E33" s="10" t="str">
        <x:v>Category Positioning Agent</x:v>
      </x:c>
      <x:c r="F33" s="10" t="str">
        <x:v>Evidence extracted from: Third-party profile categories/directories</x:v>
      </x:c>
      <x:c r="G33" s="10" t="str">
        <x:v>Structured verdict, score, confidence, rationale and cited evidence for: Category placement matching how the company positions itself</x:v>
      </x:c>
      <x:c r="H33" s="10" t="str">
        <x:v>Fetch/parse source data, normalize text/URLs, capture raw evidence.</x:v>
      </x:c>
      <x:c r="I33" s="10" t="str">
        <x:v>Store AI verdict; combine with deterministic checks; apply score thresholds and audit trail.</x:v>
      </x:c>
      <x:c r="J33" s="10" t="str">
        <x:v>Require strict JSON schema; reject low-confidence outputs; never allow AI to override hard technical facts.</x:v>
      </x:c>
      <x:c r="K33" s="10" t="str">
        <x:v>External directories</x:v>
      </x:c>
      <x:c r="L33" s="10" t="str">
        <x:v>Medium</x:v>
      </x:c>
    </x:row>
    <x:row r="34" ht="50" customHeight="1">
      <x:c r="A34" s="10" t="str">
        <x:v>OFF-10</x:v>
      </x:c>
      <x:c r="B34" s="10" t="str">
        <x:v>Off-Page / Authority</x:v>
      </x:c>
      <x:c r="C34" s="10" t="str">
        <x:v>Reddit, Stack Overflow, Quora and industry forums presence</x:v>
      </x:c>
      <x:c r="D34" s="10" t="str">
        <x:v>Requires entity resolution, source-quality judgement, competitor/list interpretation, or reconciliation across external sources.</x:v>
      </x:c>
      <x:c r="E34" s="10" t="str">
        <x:v>Community Research Agent</x:v>
      </x:c>
      <x:c r="F34" s="10" t="str">
        <x:v>Evidence extracted from: Search/web pages on community sites</x:v>
      </x:c>
      <x:c r="G34" s="10" t="str">
        <x:v>Structured verdict, score, confidence, rationale and cited evidence for: Reddit, Stack Overflow, Quora and industry forums presence</x:v>
      </x:c>
      <x:c r="H34" s="10" t="str">
        <x:v>Fetch/parse source data, normalize text/URLs, capture raw evidence.</x:v>
      </x:c>
      <x:c r="I34" s="10" t="str">
        <x:v>Store AI verdict; combine with deterministic checks; apply score thresholds and audit trail.</x:v>
      </x:c>
      <x:c r="J34" s="10" t="str">
        <x:v>Require strict JSON schema; reject low-confidence outputs; never allow AI to override hard technical facts.</x:v>
      </x:c>
      <x:c r="K34" s="10" t="str">
        <x:v>Search/web</x:v>
      </x:c>
      <x:c r="L34" s="10" t="str">
        <x:v>Low</x:v>
      </x:c>
    </x:row>
    <x:row r="35" ht="50" customHeight="1">
      <x:c r="A35" s="10" t="str">
        <x:v>OFF-11</x:v>
      </x:c>
      <x:c r="B35" s="10" t="str">
        <x:v>Off-Page / Authority</x:v>
      </x:c>
      <x:c r="C35" s="10" t="str">
        <x:v>YouTube presence and authority footprint</x:v>
      </x:c>
      <x:c r="D35" s="10" t="str">
        <x:v>Requires entity resolution, source-quality judgement, competitor/list interpretation, or reconciliation across external sources.</x:v>
      </x:c>
      <x:c r="E35" s="10" t="str">
        <x:v>Media Footprint Agent</x:v>
      </x:c>
      <x:c r="F35" s="10" t="str">
        <x:v>Evidence extracted from: YouTube search/results</x:v>
      </x:c>
      <x:c r="G35" s="10" t="str">
        <x:v>Structured verdict, score, confidence, rationale and cited evidence for: YouTube presence and authority footprint</x:v>
      </x:c>
      <x:c r="H35" s="10" t="str">
        <x:v>Fetch/parse source data, normalize text/URLs, capture raw evidence.</x:v>
      </x:c>
      <x:c r="I35" s="10" t="str">
        <x:v>Store AI verdict; combine with deterministic checks; apply score thresholds and audit trail.</x:v>
      </x:c>
      <x:c r="J35" s="10" t="str">
        <x:v>Require strict JSON schema; reject low-confidence outputs; never allow AI to override hard technical facts.</x:v>
      </x:c>
      <x:c r="K35" s="10" t="str">
        <x:v>YouTube/search APIs</x:v>
      </x:c>
      <x:c r="L35" s="10" t="str">
        <x:v>Low</x:v>
      </x:c>
    </x:row>
    <x:row r="36" ht="50" customHeight="1">
      <x:c r="A36" s="10" t="str">
        <x:v>OFF-12</x:v>
      </x:c>
      <x:c r="B36" s="10" t="str">
        <x:v>Off-Page / Authority</x:v>
      </x:c>
      <x:c r="C36" s="10" t="str">
        <x:v>Podcast, webinar and conference footprint indexed/transcribed</x:v>
      </x:c>
      <x:c r="D36" s="10" t="str">
        <x:v>Requires entity resolution, source-quality judgement, competitor/list interpretation, or reconciliation across external sources.</x:v>
      </x:c>
      <x:c r="E36" s="10" t="str">
        <x:v>Media Footprint Agent</x:v>
      </x:c>
      <x:c r="F36" s="10" t="str">
        <x:v>Evidence extracted from: Search engines, event sites, transcripts</x:v>
      </x:c>
      <x:c r="G36" s="10" t="str">
        <x:v>Structured verdict, score, confidence, rationale and cited evidence for: Podcast, webinar and conference footprint indexed/transcribed</x:v>
      </x:c>
      <x:c r="H36" s="10" t="str">
        <x:v>Fetch/parse source data, normalize text/URLs, capture raw evidence.</x:v>
      </x:c>
      <x:c r="I36" s="10" t="str">
        <x:v>Store AI verdict; combine with deterministic checks; apply score thresholds and audit trail.</x:v>
      </x:c>
      <x:c r="J36" s="10" t="str">
        <x:v>Require strict JSON schema; reject low-confidence outputs; never allow AI to override hard technical facts.</x:v>
      </x:c>
      <x:c r="K36" s="10" t="str">
        <x:v>Search/event sites</x:v>
      </x:c>
      <x:c r="L36" s="10" t="str">
        <x:v>Low</x:v>
      </x:c>
    </x:row>
    <x:row r="37" ht="50" customHeight="1">
      <x:c r="A37" s="10" t="str">
        <x:v>OFF-13</x:v>
      </x:c>
      <x:c r="B37" s="10" t="str">
        <x:v>Off-Page / Authority</x:v>
      </x:c>
      <x:c r="C37" s="10" t="str">
        <x:v>Quality and topical relevance of sites linking to the company</x:v>
      </x:c>
      <x:c r="D37" s="10" t="str">
        <x:v>Requires entity resolution, source-quality judgement, competitor/list interpretation, or reconciliation across external sources.</x:v>
      </x:c>
      <x:c r="E37" s="10" t="str">
        <x:v>Backlink Quality Agent</x:v>
      </x:c>
      <x:c r="F37" s="10" t="str">
        <x:v>Evidence extracted from: Backlink provider API</x:v>
      </x:c>
      <x:c r="G37" s="10" t="str">
        <x:v>Structured verdict, score, confidence, rationale and cited evidence for: Quality and topical relevance of sites linking to the company</x:v>
      </x:c>
      <x:c r="H37" s="10" t="str">
        <x:v>Fetch/parse source data, normalize text/URLs, capture raw evidence.</x:v>
      </x:c>
      <x:c r="I37" s="10" t="str">
        <x:v>Store AI verdict; combine with deterministic checks; apply score thresholds and audit trail.</x:v>
      </x:c>
      <x:c r="J37" s="10" t="str">
        <x:v>Require strict JSON schema; reject low-confidence outputs; never allow AI to override hard technical facts.</x:v>
      </x:c>
      <x:c r="K37" s="10" t="str">
        <x:v>Backlink provider</x:v>
      </x:c>
      <x:c r="L37" s="10" t="str">
        <x:v>High</x:v>
      </x:c>
    </x:row>
    <x:row r="38" ht="50" customHeight="1">
      <x:c r="A38" s="10" t="str">
        <x:v>OFF-14</x:v>
      </x:c>
      <x:c r="B38" s="10" t="str">
        <x:v>Off-Page / Authority</x:v>
      </x:c>
      <x:c r="C38" s="10" t="str">
        <x:v>Unlinked brand mentions and earned news by market</x:v>
      </x:c>
      <x:c r="D38" s="10" t="str">
        <x:v>Requires entity resolution, source-quality judgement, competitor/list interpretation, or reconciliation across external sources.</x:v>
      </x:c>
      <x:c r="E38" s="10" t="str">
        <x:v>Mention Discovery Agent</x:v>
      </x:c>
      <x:c r="F38" s="10" t="str">
        <x:v>Evidence extracted from: News/search/web mentions</x:v>
      </x:c>
      <x:c r="G38" s="10" t="str">
        <x:v>Structured verdict, score, confidence, rationale and cited evidence for: Unlinked brand mentions and earned news by market</x:v>
      </x:c>
      <x:c r="H38" s="10" t="str">
        <x:v>Fetch/parse source data, normalize text/URLs, capture raw evidence.</x:v>
      </x:c>
      <x:c r="I38" s="10" t="str">
        <x:v>Store AI verdict; combine with deterministic checks; apply score thresholds and audit trail.</x:v>
      </x:c>
      <x:c r="J38" s="10" t="str">
        <x:v>Require strict JSON schema; reject low-confidence outputs; never allow AI to override hard technical facts.</x:v>
      </x:c>
      <x:c r="K38" s="10" t="str">
        <x:v>Search/news</x:v>
      </x:c>
      <x:c r="L38" s="10" t="str">
        <x:v>Medium</x:v>
      </x:c>
    </x:row>
    <x:row r="39" ht="50" customHeight="1">
      <x:c r="A39" s="10" t="str">
        <x:v>OFF-15</x:v>
      </x:c>
      <x:c r="B39" s="10" t="str">
        <x:v>Off-Page / Authority</x:v>
      </x:c>
      <x:c r="C39" s="10" t="str">
        <x:v>Third-party sites actually cited by AI assistants for target topics</x:v>
      </x:c>
      <x:c r="D39" s="10" t="str">
        <x:v>Requires entity resolution, source-quality judgement, competitor/list interpretation, or reconciliation across external sources.</x:v>
      </x:c>
      <x:c r="E39" s="10" t="str">
        <x:v>AI Citation Research Agent</x:v>
      </x:c>
      <x:c r="F39" s="10" t="str">
        <x:v>Evidence extracted from: Controlled queries to target AI/search assistants</x:v>
      </x:c>
      <x:c r="G39" s="10" t="str">
        <x:v>Structured verdict, score, confidence, rationale and cited evidence for: Third-party sites actually cited by AI assistants for target topics</x:v>
      </x:c>
      <x:c r="H39" s="10" t="str">
        <x:v>Fetch/parse source data, normalize text/URLs, capture raw evidence.</x:v>
      </x:c>
      <x:c r="I39" s="10" t="str">
        <x:v>Store AI verdict; combine with deterministic checks; apply score thresholds and audit trail.</x:v>
      </x:c>
      <x:c r="J39" s="10" t="str">
        <x:v>Require strict JSON schema; reject low-confidence outputs; never allow AI to override hard technical facts.</x:v>
      </x:c>
      <x:c r="K39" s="10" t="str">
        <x:v>Assistant/search APIs or controlled browser automation</x:v>
      </x:c>
      <x:c r="L39" s="10" t="str">
        <x:v>High</x:v>
      </x:c>
    </x:row>
    <x:row r="40" ht="50" customHeight="1">
      <x:c r="A40" s="10" t="str">
        <x:v>OFF-16</x:v>
      </x:c>
      <x:c r="B40" s="10" t="str">
        <x:v>Off-Page / Authority</x:v>
      </x:c>
      <x:c r="C40" s="10" t="str">
        <x:v>Presence on best/top/leading service lists</x:v>
      </x:c>
      <x:c r="D40" s="10" t="str">
        <x:v>Requires entity resolution, source-quality judgement, competitor/list interpretation, or reconciliation across external sources.</x:v>
      </x:c>
      <x:c r="E40" s="10" t="str">
        <x:v>List &amp; Comparison Research Agent</x:v>
      </x:c>
      <x:c r="F40" s="10" t="str">
        <x:v>Evidence extracted from: Search result pages and industry lists</x:v>
      </x:c>
      <x:c r="G40" s="10" t="str">
        <x:v>Structured verdict, score, confidence, rationale and cited evidence for: Presence on best/top/leading service lists</x:v>
      </x:c>
      <x:c r="H40" s="10" t="str">
        <x:v>Fetch/parse source data, normalize text/URLs, capture raw evidence.</x:v>
      </x:c>
      <x:c r="I40" s="10" t="str">
        <x:v>Store AI verdict; combine with deterministic checks; apply score thresholds and audit trail.</x:v>
      </x:c>
      <x:c r="J40" s="10" t="str">
        <x:v>Require strict JSON schema; reject low-confidence outputs; never allow AI to override hard technical facts.</x:v>
      </x:c>
      <x:c r="K40" s="10" t="str">
        <x:v>Search/web</x:v>
      </x:c>
      <x:c r="L40" s="10" t="str">
        <x:v>Medium</x:v>
      </x:c>
    </x:row>
    <x:row r="41" ht="50" customHeight="1">
      <x:c r="A41" s="10" t="str">
        <x:v>OFF-17</x:v>
      </x:c>
      <x:c r="B41" s="10" t="str">
        <x:v>Off-Page / Authority</x:v>
      </x:c>
      <x:c r="C41" s="10" t="str">
        <x:v>Presence on alternatives-to-competitor pages</x:v>
      </x:c>
      <x:c r="D41" s="10" t="str">
        <x:v>Requires entity resolution, source-quality judgement, competitor/list interpretation, or reconciliation across external sources.</x:v>
      </x:c>
      <x:c r="E41" s="10" t="str">
        <x:v>Competitive Research Agent</x:v>
      </x:c>
      <x:c r="F41" s="10" t="str">
        <x:v>Evidence extracted from: Search for alternatives pages</x:v>
      </x:c>
      <x:c r="G41" s="10" t="str">
        <x:v>Structured verdict, score, confidence, rationale and cited evidence for: Presence on alternatives-to-competitor pages</x:v>
      </x:c>
      <x:c r="H41" s="10" t="str">
        <x:v>Fetch/parse source data, normalize text/URLs, capture raw evidence.</x:v>
      </x:c>
      <x:c r="I41" s="10" t="str">
        <x:v>Store AI verdict; combine with deterministic checks; apply score thresholds and audit trail.</x:v>
      </x:c>
      <x:c r="J41" s="10" t="str">
        <x:v>Require strict JSON schema; reject low-confidence outputs; never allow AI to override hard technical facts.</x:v>
      </x:c>
      <x:c r="K41" s="10" t="str">
        <x:v>Search/web</x:v>
      </x:c>
      <x:c r="L41" s="10" t="str">
        <x:v>Medium</x:v>
      </x:c>
    </x:row>
    <x:row r="42" ht="50" customHeight="1">
      <x:c r="A42" s="10" t="str">
        <x:v>OFF-18</x:v>
      </x:c>
      <x:c r="B42" s="10" t="str">
        <x:v>Off-Page / Authority</x:v>
      </x:c>
      <x:c r="C42" s="10" t="str">
        <x:v>Analyst, directory and trade-press coverage + description accuracy</x:v>
      </x:c>
      <x:c r="D42" s="10" t="str">
        <x:v>Requires entity resolution, source-quality judgement, competitor/list interpretation, or reconciliation across external sources.</x:v>
      </x:c>
      <x:c r="E42" s="10" t="str">
        <x:v>Reputation Research Agent</x:v>
      </x:c>
      <x:c r="F42" s="10" t="str">
        <x:v>Evidence extracted from: Analyst sites, directories, trade press</x:v>
      </x:c>
      <x:c r="G42" s="10" t="str">
        <x:v>Structured verdict, score, confidence, rationale and cited evidence for: Analyst, directory and trade-press coverage + description accuracy</x:v>
      </x:c>
      <x:c r="H42" s="10" t="str">
        <x:v>Fetch/parse source data, normalize text/URLs, capture raw evidence.</x:v>
      </x:c>
      <x:c r="I42" s="10" t="str">
        <x:v>Store AI verdict; combine with deterministic checks; apply score thresholds and audit trail.</x:v>
      </x:c>
      <x:c r="J42" s="10" t="str">
        <x:v>Require strict JSON schema; reject low-confidence outputs; never allow AI to override hard technical facts.</x:v>
      </x:c>
      <x:c r="K42" s="10" t="str">
        <x:v>Search/web</x:v>
      </x:c>
      <x:c r="L42" s="10" t="str">
        <x:v>Medium</x:v>
      </x:c>
    </x:row>
  </x:sheetData>
  <x:pageMargins left="0.7" right="0.7" top="0.75" bottom="0.75" header="0.3" footer="0.3"/>
  <x:tableParts count="1">
    <x:tablePart xmlns:r="http://schemas.openxmlformats.org/officeDocument/2006/relationships" r:id="R4ea582c6f2ec483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4" hidden="0" customWidth="1"/>
    <x:col min="3" max="3" width="72" hidden="0" customWidth="1"/>
  </x:cols>
  <x:sheetData>
    <x:row r="1" ht="30" customHeight="1">
      <x:c r="A1" s="16" t="str">
        <x:v>Dimension</x:v>
      </x:c>
      <x:c r="B1" s="16" t="str">
        <x:v>Meaning</x:v>
      </x:c>
      <x:c r="C1" s="16" t="str">
        <x:v>Use in build</x:v>
      </x:c>
    </x:row>
    <x:row r="2" ht="50" customHeight="1">
      <x:c r="A2" s="10" t="str">
        <x:v>Regular automation / Python</x:v>
      </x:c>
      <x:c r="B2" s="10" t="str">
        <x:v>Deterministic rules based on HTTP, HTML, schema, dates, URLs, response codes or numeric metrics.</x:v>
      </x:c>
      <x:c r="C2" s="10" t="str">
        <x:v>Preferred for repeatability; no LLM needed.</x:v>
      </x:c>
    </x:row>
    <x:row r="3" ht="50" customHeight="1">
      <x:c r="A3" s="10" t="str">
        <x:v>AI intelligence</x:v>
      </x:c>
      <x:c r="B3" s="10" t="str">
        <x:v>Semantic judgement is required to understand meaning, intent, source quality, content quality, entity relationships, or competing intent.</x:v>
      </x:c>
      <x:c r="C3" s="10" t="str">
        <x:v>Use specialized agents with strict JSON output and confidence.</x:v>
      </x:c>
    </x:row>
    <x:row r="4" ht="50" customHeight="1">
      <x:c r="A4" s="10" t="str">
        <x:v>Hybrid</x:v>
      </x:c>
      <x:c r="B4" s="10" t="str">
        <x:v>Deterministic extraction is performed first; AI judges ambiguity or meaning.</x:v>
      </x:c>
      <x:c r="C4" s="10" t="str">
        <x:v>Best pattern for reliable production results.</x:v>
      </x:c>
    </x:row>
    <x:row r="5" ht="50" customHeight="1">
      <x:c r="A5" s="10" t="str">
        <x:v>External API + Python</x:v>
      </x:c>
      <x:c r="B5" s="10" t="str">
        <x:v>Data does not exist on the target site and must be obtained from third-party systems.</x:v>
      </x:c>
      <x:c r="C5" s="10" t="str">
        <x:v>Implement provider adapters; cache raw responses and timestamps.</x:v>
      </x:c>
    </x:row>
    <x:row r="6" ht="50" customHeight="1">
      <x:c r="A6" s="10" t="str">
        <x:v>AI Agent rule</x:v>
      </x:c>
      <x:c r="B6" s="10" t="str">
        <x:v>AI must not invent evidence. It can classify or interpret supplied evidence; web research agents must save URLs/snippets/source timestamps.</x:v>
      </x:c>
      <x:c r="C6" s="10" t="str">
        <x:v>Every AI result stores evidence, confidence, prompt/version and model metadata.</x:v>
      </x:c>
    </x:row>
    <x:row r="7" ht="50" customHeight="1">
      <x:c r="A7" s="10" t="str">
        <x:v>Parameter execution</x:v>
      </x:c>
      <x:c r="B7" s="10" t="str">
        <x:v>Each of the 62 parameters runs independently. A failure/timeout/unsupported dependency returns its own UNKNOWN/PARTIAL result and does not stop the scan.</x:v>
      </x:c>
      <x:c r="C7" s="10" t="str">
        <x:v>Orchestrate with a job queue / async task group; aggregate only after all jobs complete.</x:v>
      </x:c>
    </x:row>
    <x:row r="8" ht="50" customHeight="1">
      <x:c r="A8" s="10" t="str">
        <x:v>Scoring</x:v>
      </x:c>
      <x:c r="B8" s="10" t="str">
        <x:v>Default status: PASS &gt;= 90, PARTIAL 60–89, FAIL &lt; 60, UNKNOWN when required data is unavailable. Individual parameters may override thresholds when a binary rule is more appropriate.</x:v>
      </x:c>
      <x:c r="C8" s="10" t="str">
        <x:v>Keep threshold/weight configuration in database/JSON, not hard-coded in UI.</x:v>
      </x:c>
    </x:row>
    <x:row r="9" ht="50" customHeight="1">
      <x:c r="A9" s="10" t="str">
        <x:v>Evidence</x:v>
      </x:c>
      <x:c r="B9" s="10" t="str">
        <x:v>Every parameter result should contain URL/source, raw or normalized evidence, timestamp, calculation, score, status, and recommendation.</x:v>
      </x:c>
      <x:c r="C9" s="10" t="str">
        <x:v>Enables report explainability and reproducibility.</x:v>
      </x:c>
    </x:row>
    <x:row r="10" ht="50" customHeight="1">
      <x:c r="A10" s="10" t="str">
        <x:v>Security</x:v>
      </x:c>
      <x:c r="B10" s="10" t="str">
        <x:v>Treat target websites and external responses as untrusted input; restrict SSRF, file size, crawl rate and execution time.</x:v>
      </x:c>
      <x:c r="C10" s="10" t="str">
        <x:v>Use allowlisted outbound protocols, DNS/IP checks, timeouts and rate limits.</x:v>
      </x:c>
    </x:row>
    <x:row r="11" ht="50" customHeight="1">
      <x:c r="A11" s="10" t="str">
        <x:v>Recommended agent families</x:v>
      </x:c>
      <x:c r="B11" s="10" t="str">
        <x:v>Intent &amp; Question, Content Quality, Evidence &amp; Claims, Journey Mapping, Entity Research, Authority Consistency, Reputation Benchmark, Backlink Quality, Mention Discovery, AI Citation Research, Competitive Research.</x:v>
      </x:c>
      <x:c r="C11" s="10" t="str">
        <x:v>Keep agents specialized rather than one generic agent.</x:v>
      </x:c>
    </x:row>
  </x:sheetData>
  <x:pageMargins left="0.7" right="0.7" top="0.75" bottom="0.75" header="0.3" footer="0.3"/>
  <x:tableParts count="1">
    <x:tablePart xmlns:r="http://schemas.openxmlformats.org/officeDocument/2006/relationships" r:id="R2a4e31dfdddb4047"/>
  </x:tableParts>
</x:worksheet>
</file>